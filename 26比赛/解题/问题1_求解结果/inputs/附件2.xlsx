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马汗青\Desktop\shumo\26比赛\解题\B题\氢燃料电池低温冷启动建模与控制策略研究  附件\"/>
    </mc:Choice>
  </mc:AlternateContent>
  <bookViews>
    <workbookView windowWidth="24750" windowHeight="10480"/>
  </bookViews>
  <sheets>
    <sheet name="-20℃" sheetId="3" r:id="rId1"/>
    <sheet name="-25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<sst xmlns="http://schemas.openxmlformats.org/spreadsheetml/2006/main" count="14" uniqueCount="14">
  <si>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启动温度为-20℃</t>
  </si>
  <si>
    <r>
      <rPr>
        <sz val="11"/>
        <color theme="1"/>
        <rFont val="宋体"/>
        <charset val="134"/>
      </rPr>
      <t>时间</t>
    </r>
    <r>
      <rPr>
        <sz val="11"/>
        <color theme="1"/>
        <rFont val="Times New Roman"/>
        <charset val="134"/>
      </rPr>
      <t xml:space="preserve"> / s</t>
    </r>
  </si>
  <si>
    <r>
      <rPr>
        <sz val="11"/>
        <color theme="1"/>
        <rFont val="宋体"/>
        <charset val="134"/>
      </rPr>
      <t>电流</t>
    </r>
    <r>
      <rPr>
        <sz val="11"/>
        <color theme="1"/>
        <rFont val="Times New Roman"/>
        <charset val="134"/>
      </rPr>
      <t xml:space="preserve"> / A</t>
    </r>
  </si>
  <si>
    <r>
      <rPr>
        <sz val="11"/>
        <rFont val="宋体"/>
        <charset val="134"/>
      </rPr>
      <t>电压</t>
    </r>
    <r>
      <rPr>
        <sz val="11"/>
        <rFont val="Times New Roman"/>
        <charset val="134"/>
      </rPr>
      <t xml:space="preserve"> / V</t>
    </r>
  </si>
  <si>
    <r>
      <rPr>
        <sz val="11"/>
        <rFont val="宋体"/>
        <charset val="134"/>
      </rPr>
      <t>单电池平均温度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℃</t>
    </r>
  </si>
  <si>
    <r>
      <rPr>
        <sz val="11"/>
        <color theme="1"/>
        <rFont val="宋体"/>
        <charset val="134"/>
      </rPr>
      <t>电流密度</t>
    </r>
    <r>
      <rPr>
        <sz val="11"/>
        <color theme="1"/>
        <rFont val="Times New Roman"/>
        <charset val="134"/>
      </rPr>
      <t xml:space="preserve"> / A·cm</t>
    </r>
    <r>
      <rPr>
        <vertAlign val="superscript"/>
        <sz val="11"/>
        <color theme="1"/>
        <rFont val="Times New Roman"/>
        <charset val="134"/>
      </rPr>
      <t>-2</t>
    </r>
  </si>
  <si>
    <r>
      <t>电流密度</t>
    </r>
    <r>
      <rPr>
        <sz val="11"/>
        <color theme="1"/>
        <rFont val="Times New Roman"/>
        <charset val="134"/>
      </rPr>
      <t xml:space="preserve"> / A·m</t>
    </r>
    <r>
      <rPr>
        <vertAlign val="superscript"/>
        <sz val="11"/>
        <color theme="1"/>
        <rFont val="Times New Roman"/>
        <charset val="134"/>
      </rPr>
      <t>-2</t>
    </r>
  </si>
  <si>
    <r>
      <rPr>
        <sz val="16"/>
        <rFont val="宋体"/>
        <charset val="134"/>
      </rPr>
      <t>启动温度为</t>
    </r>
    <r>
      <rPr>
        <sz val="16"/>
        <rFont val="Times New Roman"/>
        <charset val="134"/>
      </rPr>
      <t>-25</t>
    </r>
    <r>
      <rPr>
        <sz val="16"/>
        <rFont val="宋体"/>
        <charset val="134"/>
      </rPr>
      <t>℃</t>
    </r>
  </si>
  <si>
    <r>
      <rPr>
        <sz val="16"/>
        <rFont val="宋体"/>
        <charset val="134"/>
      </rPr>
      <t>时间</t>
    </r>
    <r>
      <rPr>
        <sz val="16"/>
        <rFont val="Times New Roman"/>
        <charset val="134"/>
      </rPr>
      <t>/s</t>
    </r>
  </si>
  <si>
    <r>
      <rPr>
        <sz val="16"/>
        <rFont val="宋体"/>
        <charset val="134"/>
      </rPr>
      <t>电流</t>
    </r>
    <r>
      <rPr>
        <sz val="16"/>
        <rFont val="Times New Roman"/>
        <charset val="134"/>
      </rPr>
      <t>/A</t>
    </r>
  </si>
  <si>
    <r>
      <rPr>
        <sz val="16"/>
        <rFont val="宋体"/>
        <charset val="134"/>
      </rPr>
      <t>电压</t>
    </r>
    <r>
      <rPr>
        <sz val="16"/>
        <rFont val="Times New Roman"/>
        <charset val="134"/>
      </rPr>
      <t xml:space="preserve"> /V</t>
    </r>
  </si>
  <si>
    <r>
      <rPr>
        <sz val="16"/>
        <rFont val="宋体"/>
        <charset val="134"/>
      </rPr>
      <t>单电池平均温度</t>
    </r>
    <r>
      <rPr>
        <sz val="16"/>
        <rFont val="Times New Roman"/>
        <charset val="134"/>
      </rPr>
      <t>/</t>
    </r>
    <r>
      <rPr>
        <sz val="16"/>
        <rFont val="宋体"/>
        <charset val="134"/>
      </rPr>
      <t>℃</t>
    </r>
  </si>
  <si>
    <r>
      <t>电流密度</t>
    </r>
    <r>
      <rPr>
        <sz val="16"/>
        <rFont val="Times New Roman"/>
        <charset val="134"/>
      </rPr>
      <t>/A cm</t>
    </r>
    <r>
      <rPr>
        <vertAlign val="superscript"/>
        <sz val="16"/>
        <rFont val="Times New Roman"/>
        <charset val="134"/>
      </rPr>
      <t>-2</t>
    </r>
  </si>
  <si>
    <t>电流密度/A m-2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</si>
</sst>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);[Red]\(0.000\)"/>
    <numFmt numFmtId="178" formatCode="0.00_ "/>
    <numFmt numFmtId="179" formatCode="0.0"/>
    <numFmt numFmtId="180" formatCode="0.000"/>
  </numFmts>
  <fonts count="3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name val="Times New Roman"/>
      <charset val="134"/>
    </font>
    <font>
      <sz val="16"/>
      <name val="宋体"/>
      <charset val="134"/>
    </font>
    <font>
      <b/>
      <sz val="16"/>
      <color theme="1"/>
      <name val="宋体"/>
      <charset val="134"/>
      <scheme val="minor"/>
    </font>
    <font>
      <sz val="11"/>
      <name val="Carlito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  <font>
      <sz val="16"/>
      <name val="宋体"/>
      <charset val="134"/>
    </font>
    <font>
      <sz val="11"/>
      <name val="宋体"/>
      <charset val="134"/>
    </font>
    <font>
      <vertAlign val="superscript"/>
      <sz val="11"/>
      <color theme="1"/>
      <name val="Times New Roman"/>
      <charset val="134"/>
    </font>
    <font>
      <vertAlign val="superscript"/>
      <sz val="16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3E8EE"/>
      </bottom>
      <diagonal/>
    </border>
    <border>
      <left/>
      <right/>
      <top style="thin">
        <color rgb="FFE3E8EE"/>
      </top>
      <bottom style="thin">
        <color rgb="FFE3E8EE"/>
      </bottom>
      <diagonal/>
    </border>
    <border>
      <left/>
      <right/>
      <top style="thin">
        <color rgb="FFE3E8EE"/>
      </top>
      <bottom style="thin">
        <color rgb="FFCBD5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6" fillId="0" borderId="0"/>
    <xf numFmtId="0" fontId="6" fillId="0" borderId="0"/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6" fillId="0" borderId="0" xfId="50"/>
    <xf numFmtId="0" fontId="6" fillId="0" borderId="0" xfId="50" applyAlignment="1">
      <alignment horizontal="center"/>
    </xf>
    <xf numFmtId="0" fontId="2" fillId="0" borderId="0" xfId="0" applyFont="1" applyAlignment="1">
      <alignment horizontal="center" vertical="center"/>
    </xf>
    <xf numFmtId="179" fontId="7" fillId="0" borderId="0" xfId="49" applyNumberFormat="1" applyFont="1" applyAlignment="1">
      <alignment horizontal="center" vertical="center"/>
    </xf>
    <xf numFmtId="179" fontId="8" fillId="0" borderId="0" xfId="49" applyNumberFormat="1" applyFont="1" applyAlignment="1">
      <alignment horizontal="center" vertical="center"/>
    </xf>
    <xf numFmtId="179" fontId="9" fillId="0" borderId="0" xfId="49" applyNumberFormat="1" applyFont="1" applyAlignment="1">
      <alignment horizontal="center" vertical="center"/>
    </xf>
    <xf numFmtId="179" fontId="10" fillId="0" borderId="0" xfId="49" applyNumberFormat="1" applyFont="1" applyAlignment="1">
      <alignment horizontal="center" vertical="center"/>
    </xf>
    <xf numFmtId="179" fontId="0" fillId="0" borderId="0" xfId="49" applyNumberFormat="1" applyFont="1" applyAlignment="1">
      <alignment horizontal="center" vertical="center"/>
    </xf>
    <xf numFmtId="180" fontId="0" fillId="0" borderId="0" xfId="49" applyNumberFormat="1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6"/>
  <sheetViews>
    <sheetView tabSelected="1" topLeftCell="A44" workbookViewId="0">
      <selection activeCell="F63" sqref="F63"/>
    </sheetView>
  </sheetViews>
  <sheetFormatPr defaultColWidth="9" defaultRowHeight="14" outlineLevelCol="5"/>
  <cols>
    <col min="1" max="2" width="12" style="16" customWidth="1"/>
    <col min="3" max="3" width="16" style="16" customWidth="1"/>
    <col min="4" max="4" width="19" customWidth="1"/>
    <col min="5" max="5" width="20" style="16" customWidth="1"/>
    <col min="6" max="6" width="21" style="17" customWidth="1"/>
    <col min="7" max="16384" width="9" style="16"/>
  </cols>
  <sheetData>
    <row r="1" s="5" customFormat="1" ht="85.5" customHeight="1" spans="1:6">
      <c r="A1" s="18" t="s">
        <v>0</v>
      </c>
      <c r="B1" s="18"/>
      <c r="C1" s="18"/>
      <c r="D1" s="18"/>
      <c r="E1" s="18"/>
    </row>
    <row r="2" ht="16" spans="1:6">
      <c r="A2" s="19" t="s">
        <v>1</v>
      </c>
      <c r="B2" s="19" t="s">
        <v>2</v>
      </c>
      <c r="C2" s="20" t="s">
        <v>3</v>
      </c>
      <c r="D2" s="20" t="s">
        <v>4</v>
      </c>
      <c r="E2" s="21" t="s">
        <v>5</v>
      </c>
      <c r="F2" s="22" t="s">
        <v>6</v>
      </c>
    </row>
    <row r="3" spans="1:6">
      <c r="A3" s="23">
        <v>0</v>
      </c>
      <c r="B3" s="23">
        <v>2</v>
      </c>
      <c r="C3" s="24">
        <v>0.799</v>
      </c>
      <c r="D3" s="25">
        <v>-19.9953547791121</v>
      </c>
      <c r="E3" s="24">
        <v>0.006</v>
      </c>
      <c r="F3" s="17">
        <f>E3*10000</f>
        <v>60</v>
      </c>
    </row>
    <row r="4" spans="1:6">
      <c r="A4" s="23">
        <v>0.2</v>
      </c>
      <c r="B4" s="23">
        <v>2.1</v>
      </c>
      <c r="C4" s="24">
        <v>0.799</v>
      </c>
      <c r="D4" s="26">
        <v>-19.9953547791121</v>
      </c>
      <c r="E4" s="24">
        <v>0.006</v>
      </c>
      <c r="F4" s="17">
        <f t="shared" ref="F4:F35" si="0">E4*10000</f>
        <v>60</v>
      </c>
    </row>
    <row r="5" spans="1:6">
      <c r="A5" s="23">
        <v>0.4</v>
      </c>
      <c r="B5" s="23">
        <v>2</v>
      </c>
      <c r="C5" s="24">
        <v>0.8</v>
      </c>
      <c r="D5" s="26">
        <v>-19.9939052077991</v>
      </c>
      <c r="E5" s="24">
        <v>0.007</v>
      </c>
      <c r="F5" s="17">
        <f t="shared" si="0"/>
        <v>70</v>
      </c>
    </row>
    <row r="6" spans="1:6">
      <c r="A6" s="23">
        <v>0.6</v>
      </c>
      <c r="B6" s="23">
        <v>2</v>
      </c>
      <c r="C6" s="24">
        <v>0.8</v>
      </c>
      <c r="D6" s="26">
        <v>-19.992502715072</v>
      </c>
      <c r="E6" s="24">
        <v>0.007</v>
      </c>
      <c r="F6" s="17">
        <f t="shared" si="0"/>
        <v>70</v>
      </c>
    </row>
    <row r="7" spans="1:6">
      <c r="A7" s="23">
        <v>0.8</v>
      </c>
      <c r="B7" s="23">
        <v>2.1</v>
      </c>
      <c r="C7" s="24">
        <v>0.8</v>
      </c>
      <c r="D7" s="26">
        <v>-19.991066017965</v>
      </c>
      <c r="E7" s="24">
        <v>0.006</v>
      </c>
      <c r="F7" s="17">
        <f t="shared" si="0"/>
        <v>60</v>
      </c>
    </row>
    <row r="8" spans="1:6">
      <c r="A8" s="23">
        <v>1</v>
      </c>
      <c r="B8" s="23">
        <v>2</v>
      </c>
      <c r="C8" s="24">
        <v>0.8</v>
      </c>
      <c r="D8" s="26">
        <v>-19.9896333486865</v>
      </c>
      <c r="E8" s="24">
        <v>0.006</v>
      </c>
      <c r="F8" s="17">
        <f t="shared" si="0"/>
        <v>60</v>
      </c>
    </row>
    <row r="9" spans="1:6">
      <c r="A9" s="23">
        <v>1.2</v>
      </c>
      <c r="B9" s="23">
        <v>2</v>
      </c>
      <c r="C9" s="24">
        <v>0.8</v>
      </c>
      <c r="D9" s="26">
        <v>-19.9882428989544</v>
      </c>
      <c r="E9" s="24">
        <v>0.007</v>
      </c>
      <c r="F9" s="17">
        <f t="shared" si="0"/>
        <v>70</v>
      </c>
    </row>
    <row r="10" spans="1:6">
      <c r="A10" s="23">
        <v>1.4</v>
      </c>
      <c r="B10" s="23">
        <v>2.1</v>
      </c>
      <c r="C10" s="24">
        <v>0.8</v>
      </c>
      <c r="D10" s="26">
        <v>-19.9868180776747</v>
      </c>
      <c r="E10" s="24">
        <v>0.007</v>
      </c>
      <c r="F10" s="17">
        <f t="shared" si="0"/>
        <v>70</v>
      </c>
    </row>
    <row r="11" spans="1:6">
      <c r="A11" s="23">
        <v>1.6</v>
      </c>
      <c r="B11" s="23">
        <v>1.8</v>
      </c>
      <c r="C11" s="24">
        <v>0.8</v>
      </c>
      <c r="D11" s="26">
        <v>-19.985473550325</v>
      </c>
      <c r="E11" s="24">
        <v>0.007</v>
      </c>
      <c r="F11" s="17">
        <f t="shared" si="0"/>
        <v>70</v>
      </c>
    </row>
    <row r="12" spans="1:6">
      <c r="A12" s="23">
        <v>1.8</v>
      </c>
      <c r="B12" s="23">
        <v>2.2</v>
      </c>
      <c r="C12" s="24">
        <v>0.8</v>
      </c>
      <c r="D12" s="26">
        <v>-19.9840946143707</v>
      </c>
      <c r="E12" s="24">
        <v>0.006</v>
      </c>
      <c r="F12" s="17">
        <f t="shared" si="0"/>
        <v>60</v>
      </c>
    </row>
    <row r="13" spans="1:6">
      <c r="A13" s="23">
        <v>2</v>
      </c>
      <c r="B13" s="23">
        <v>2</v>
      </c>
      <c r="C13" s="24">
        <v>0.8</v>
      </c>
      <c r="D13" s="26">
        <v>-19.9826430118958</v>
      </c>
      <c r="E13" s="24">
        <v>0.007</v>
      </c>
      <c r="F13" s="17">
        <f t="shared" si="0"/>
        <v>70</v>
      </c>
    </row>
    <row r="14" spans="1:6">
      <c r="A14" s="23">
        <v>2.2</v>
      </c>
      <c r="B14" s="23">
        <v>2.1</v>
      </c>
      <c r="C14" s="24">
        <v>0.8</v>
      </c>
      <c r="D14" s="26">
        <v>-19.9812337391118</v>
      </c>
      <c r="E14" s="24">
        <v>0.006</v>
      </c>
      <c r="F14" s="17">
        <f t="shared" si="0"/>
        <v>60</v>
      </c>
    </row>
    <row r="15" spans="1:6">
      <c r="A15" s="23">
        <v>2.4</v>
      </c>
      <c r="B15" s="23">
        <v>2</v>
      </c>
      <c r="C15" s="24">
        <v>0.8</v>
      </c>
      <c r="D15" s="26">
        <v>-19.9798283691447</v>
      </c>
      <c r="E15" s="24">
        <v>0.006</v>
      </c>
      <c r="F15" s="17">
        <f t="shared" si="0"/>
        <v>60</v>
      </c>
    </row>
    <row r="16" spans="1:6">
      <c r="A16" s="23">
        <v>2.6</v>
      </c>
      <c r="B16" s="23">
        <v>2</v>
      </c>
      <c r="C16" s="24">
        <v>0.8</v>
      </c>
      <c r="D16" s="26">
        <v>-19.9784650696349</v>
      </c>
      <c r="E16" s="24">
        <v>0.006</v>
      </c>
      <c r="F16" s="17">
        <f t="shared" si="0"/>
        <v>60</v>
      </c>
    </row>
    <row r="17" spans="1:6">
      <c r="A17" s="23">
        <v>2.8</v>
      </c>
      <c r="B17" s="23">
        <v>2</v>
      </c>
      <c r="C17" s="24">
        <v>0.8</v>
      </c>
      <c r="D17" s="26">
        <v>-19.9771055344316</v>
      </c>
      <c r="E17" s="24">
        <v>0.006</v>
      </c>
      <c r="F17" s="17">
        <f t="shared" si="0"/>
        <v>60</v>
      </c>
    </row>
    <row r="18" spans="1:6">
      <c r="A18" s="23">
        <v>3</v>
      </c>
      <c r="B18" s="23">
        <v>2.2</v>
      </c>
      <c r="C18" s="24">
        <v>0.8</v>
      </c>
      <c r="D18" s="26">
        <v>-19.9756733431688</v>
      </c>
      <c r="E18" s="24">
        <v>0.006</v>
      </c>
      <c r="F18" s="17">
        <f t="shared" si="0"/>
        <v>60</v>
      </c>
    </row>
    <row r="19" spans="1:6">
      <c r="A19" s="23">
        <v>3.2</v>
      </c>
      <c r="B19" s="23">
        <v>2.1</v>
      </c>
      <c r="C19" s="24">
        <v>0.8</v>
      </c>
      <c r="D19" s="26">
        <v>-19.9742068055476</v>
      </c>
      <c r="E19" s="24">
        <v>0.006</v>
      </c>
      <c r="F19" s="17">
        <f t="shared" si="0"/>
        <v>60</v>
      </c>
    </row>
    <row r="20" spans="1:6">
      <c r="A20" s="23">
        <v>3.4</v>
      </c>
      <c r="B20" s="23">
        <v>2</v>
      </c>
      <c r="C20" s="24">
        <v>0.8</v>
      </c>
      <c r="D20" s="26">
        <v>-19.9728209222263</v>
      </c>
      <c r="E20" s="24">
        <v>0.006</v>
      </c>
      <c r="F20" s="17">
        <f t="shared" si="0"/>
        <v>60</v>
      </c>
    </row>
    <row r="21" spans="1:6">
      <c r="A21" s="23">
        <v>3.6</v>
      </c>
      <c r="B21" s="23">
        <v>2.1</v>
      </c>
      <c r="C21" s="24">
        <v>0.8</v>
      </c>
      <c r="D21" s="26">
        <v>-19.9714388687345</v>
      </c>
      <c r="E21" s="24">
        <v>0.006</v>
      </c>
      <c r="F21" s="17">
        <f t="shared" si="0"/>
        <v>60</v>
      </c>
    </row>
    <row r="22" spans="1:6">
      <c r="A22" s="23">
        <v>3.8</v>
      </c>
      <c r="B22" s="23">
        <v>2.1</v>
      </c>
      <c r="C22" s="24">
        <v>0.8</v>
      </c>
      <c r="D22" s="26">
        <v>-19.9700224187202</v>
      </c>
      <c r="E22" s="24">
        <v>0.007</v>
      </c>
      <c r="F22" s="17">
        <f t="shared" si="0"/>
        <v>70</v>
      </c>
    </row>
    <row r="23" spans="1:6">
      <c r="A23" s="23">
        <v>4</v>
      </c>
      <c r="B23" s="23">
        <v>2</v>
      </c>
      <c r="C23" s="24">
        <v>0.8</v>
      </c>
      <c r="D23" s="26">
        <v>-19.9686481269663</v>
      </c>
      <c r="E23" s="24">
        <v>0.006</v>
      </c>
      <c r="F23" s="17">
        <f t="shared" si="0"/>
        <v>60</v>
      </c>
    </row>
    <row r="24" spans="1:6">
      <c r="A24" s="23">
        <v>4.2</v>
      </c>
      <c r="B24" s="23">
        <v>1.9</v>
      </c>
      <c r="C24" s="24">
        <v>0.8</v>
      </c>
      <c r="D24" s="26">
        <v>-19.9673537812431</v>
      </c>
      <c r="E24" s="24">
        <v>0.006</v>
      </c>
      <c r="F24" s="17">
        <f t="shared" si="0"/>
        <v>60</v>
      </c>
    </row>
    <row r="25" spans="1:6">
      <c r="A25" s="23">
        <v>4.4</v>
      </c>
      <c r="B25" s="23">
        <v>2</v>
      </c>
      <c r="C25" s="24">
        <v>0.801</v>
      </c>
      <c r="D25" s="26">
        <v>-19.9660629951806</v>
      </c>
      <c r="E25" s="24">
        <v>0.006</v>
      </c>
      <c r="F25" s="17">
        <f t="shared" si="0"/>
        <v>60</v>
      </c>
    </row>
    <row r="26" spans="1:6">
      <c r="A26" s="23">
        <v>4.6</v>
      </c>
      <c r="B26" s="23">
        <v>2</v>
      </c>
      <c r="C26" s="24">
        <v>0.801</v>
      </c>
      <c r="D26" s="26">
        <v>-19.964737756968</v>
      </c>
      <c r="E26" s="24">
        <v>0.007</v>
      </c>
      <c r="F26" s="17">
        <f t="shared" si="0"/>
        <v>70</v>
      </c>
    </row>
    <row r="27" spans="1:6">
      <c r="A27" s="23">
        <v>4.8</v>
      </c>
      <c r="B27" s="23">
        <v>2</v>
      </c>
      <c r="C27" s="24">
        <v>0.801</v>
      </c>
      <c r="D27" s="26">
        <v>-19.9634161918419</v>
      </c>
      <c r="E27" s="24">
        <v>0.006</v>
      </c>
      <c r="F27" s="17">
        <f t="shared" si="0"/>
        <v>60</v>
      </c>
    </row>
    <row r="28" spans="1:6">
      <c r="A28" s="23">
        <v>5</v>
      </c>
      <c r="B28" s="23">
        <v>2</v>
      </c>
      <c r="C28" s="24">
        <v>0.801</v>
      </c>
      <c r="D28" s="26">
        <v>-19.9620982843207</v>
      </c>
      <c r="E28" s="24">
        <v>0.007</v>
      </c>
      <c r="F28" s="17">
        <f t="shared" si="0"/>
        <v>70</v>
      </c>
    </row>
    <row r="29" spans="1:6">
      <c r="A29" s="23">
        <v>5.2</v>
      </c>
      <c r="B29" s="23">
        <v>2.2</v>
      </c>
      <c r="C29" s="24">
        <v>0.801</v>
      </c>
      <c r="D29" s="26">
        <v>-19.9607077658005</v>
      </c>
      <c r="E29" s="24">
        <v>0.007</v>
      </c>
      <c r="F29" s="17">
        <f t="shared" si="0"/>
        <v>70</v>
      </c>
    </row>
    <row r="30" spans="1:6">
      <c r="A30" s="23">
        <v>5.4</v>
      </c>
      <c r="B30" s="23">
        <v>2</v>
      </c>
      <c r="C30" s="24">
        <v>0.801</v>
      </c>
      <c r="D30" s="26">
        <v>-19.9593211229018</v>
      </c>
      <c r="E30" s="24">
        <v>0.007</v>
      </c>
      <c r="F30" s="17">
        <f t="shared" si="0"/>
        <v>70</v>
      </c>
    </row>
    <row r="31" spans="1:6">
      <c r="A31" s="23">
        <v>5.6</v>
      </c>
      <c r="B31" s="23">
        <v>1.9</v>
      </c>
      <c r="C31" s="24">
        <v>0.801</v>
      </c>
      <c r="D31" s="26">
        <v>-19.9580525390336</v>
      </c>
      <c r="E31" s="24">
        <v>0.007</v>
      </c>
      <c r="F31" s="17">
        <f t="shared" si="0"/>
        <v>70</v>
      </c>
    </row>
    <row r="32" spans="1:6">
      <c r="A32" s="23">
        <v>5.8</v>
      </c>
      <c r="B32" s="23">
        <v>2</v>
      </c>
      <c r="C32" s="24">
        <v>0.801</v>
      </c>
      <c r="D32" s="26">
        <v>-19.9567874395764</v>
      </c>
      <c r="E32" s="24">
        <v>0.006</v>
      </c>
      <c r="F32" s="17">
        <f t="shared" si="0"/>
        <v>60</v>
      </c>
    </row>
    <row r="33" spans="1:6">
      <c r="A33" s="23">
        <v>6</v>
      </c>
      <c r="B33" s="23">
        <v>2</v>
      </c>
      <c r="C33" s="24">
        <v>0.802</v>
      </c>
      <c r="D33" s="26">
        <v>-19.9554878688332</v>
      </c>
      <c r="E33" s="24">
        <v>0.006</v>
      </c>
      <c r="F33" s="17">
        <f t="shared" si="0"/>
        <v>60</v>
      </c>
    </row>
    <row r="34" spans="1:6">
      <c r="A34" s="23">
        <v>6.2</v>
      </c>
      <c r="B34" s="23">
        <v>2.2</v>
      </c>
      <c r="C34" s="24">
        <v>0.797</v>
      </c>
      <c r="D34" s="26">
        <v>-19.9541157140788</v>
      </c>
      <c r="E34" s="24">
        <v>0.005</v>
      </c>
      <c r="F34" s="17">
        <f t="shared" si="0"/>
        <v>50</v>
      </c>
    </row>
    <row r="35" spans="1:6">
      <c r="A35" s="23">
        <v>6.4</v>
      </c>
      <c r="B35" s="23">
        <v>3.7</v>
      </c>
      <c r="C35" s="24">
        <v>0.765</v>
      </c>
      <c r="D35" s="26">
        <v>-19.9520861857361</v>
      </c>
      <c r="E35" s="24">
        <v>0.01</v>
      </c>
      <c r="F35" s="17">
        <f t="shared" si="0"/>
        <v>100</v>
      </c>
    </row>
    <row r="36" spans="1:6">
      <c r="A36" s="23">
        <v>6.6</v>
      </c>
      <c r="B36" s="23">
        <v>5.3</v>
      </c>
      <c r="C36" s="24">
        <v>0.739</v>
      </c>
      <c r="D36" s="26">
        <v>-19.9488011654811</v>
      </c>
      <c r="E36" s="24">
        <v>0.015</v>
      </c>
      <c r="F36" s="17">
        <f t="shared" ref="F36:F67" si="1">E36*10000</f>
        <v>150</v>
      </c>
    </row>
    <row r="37" spans="1:6">
      <c r="A37" s="23">
        <v>6.8</v>
      </c>
      <c r="B37" s="23">
        <v>6.8</v>
      </c>
      <c r="C37" s="24">
        <v>0.718</v>
      </c>
      <c r="D37" s="26">
        <v>-19.9442018461222</v>
      </c>
      <c r="E37" s="24">
        <v>0.02</v>
      </c>
      <c r="F37" s="17">
        <f t="shared" si="1"/>
        <v>200</v>
      </c>
    </row>
    <row r="38" spans="1:6">
      <c r="A38" s="23">
        <v>7</v>
      </c>
      <c r="B38" s="23">
        <v>9.3</v>
      </c>
      <c r="C38" s="24">
        <v>0.699</v>
      </c>
      <c r="D38" s="26">
        <v>-19.93782503582</v>
      </c>
      <c r="E38" s="24">
        <v>0.025</v>
      </c>
      <c r="F38" s="17">
        <f t="shared" si="1"/>
        <v>250</v>
      </c>
    </row>
    <row r="39" spans="1:6">
      <c r="A39" s="23">
        <v>7.2</v>
      </c>
      <c r="B39" s="23">
        <v>11</v>
      </c>
      <c r="C39" s="24">
        <v>0.682</v>
      </c>
      <c r="D39" s="26">
        <v>-19.9294963225799</v>
      </c>
      <c r="E39" s="24">
        <v>0.032</v>
      </c>
      <c r="F39" s="17">
        <f t="shared" si="1"/>
        <v>320</v>
      </c>
    </row>
    <row r="40" spans="1:6">
      <c r="A40" s="23">
        <v>7.4</v>
      </c>
      <c r="B40" s="23">
        <v>11.7</v>
      </c>
      <c r="C40" s="24">
        <v>0.667</v>
      </c>
      <c r="D40" s="26">
        <v>-19.9200346948561</v>
      </c>
      <c r="E40" s="24">
        <v>0.038</v>
      </c>
      <c r="F40" s="17">
        <f t="shared" si="1"/>
        <v>380</v>
      </c>
    </row>
    <row r="41" spans="1:6">
      <c r="A41" s="23">
        <v>7.6</v>
      </c>
      <c r="B41" s="23">
        <v>13.3</v>
      </c>
      <c r="C41" s="24">
        <v>0.653</v>
      </c>
      <c r="D41" s="26">
        <v>-19.9094720256139</v>
      </c>
      <c r="E41" s="24">
        <v>0.04</v>
      </c>
      <c r="F41" s="17">
        <f t="shared" si="1"/>
        <v>400</v>
      </c>
    </row>
    <row r="42" spans="1:6">
      <c r="A42" s="23">
        <v>7.8</v>
      </c>
      <c r="B42" s="23">
        <v>14.9</v>
      </c>
      <c r="C42" s="24">
        <v>0.64</v>
      </c>
      <c r="D42" s="26">
        <v>-19.897330862705</v>
      </c>
      <c r="E42" s="24">
        <v>0.046</v>
      </c>
      <c r="F42" s="17">
        <f t="shared" si="1"/>
        <v>460</v>
      </c>
    </row>
    <row r="43" spans="1:6">
      <c r="A43" s="23">
        <v>8</v>
      </c>
      <c r="B43" s="23">
        <v>16.4</v>
      </c>
      <c r="C43" s="24">
        <v>0.628</v>
      </c>
      <c r="D43" s="26">
        <v>-19.8836350928311</v>
      </c>
      <c r="E43" s="24">
        <v>0.05</v>
      </c>
      <c r="F43" s="17">
        <f t="shared" si="1"/>
        <v>500</v>
      </c>
    </row>
    <row r="44" spans="1:6">
      <c r="A44" s="23">
        <v>8.2</v>
      </c>
      <c r="B44" s="23">
        <v>18.2</v>
      </c>
      <c r="C44" s="24">
        <v>0.616</v>
      </c>
      <c r="D44" s="26">
        <v>-19.8682541508126</v>
      </c>
      <c r="E44" s="24">
        <v>0.056</v>
      </c>
      <c r="F44" s="17">
        <f t="shared" si="1"/>
        <v>560</v>
      </c>
    </row>
    <row r="45" spans="1:6">
      <c r="A45" s="23">
        <v>8.4</v>
      </c>
      <c r="B45" s="23">
        <v>19.6</v>
      </c>
      <c r="C45" s="24">
        <v>0.606</v>
      </c>
      <c r="D45" s="26">
        <v>-19.8512215782306</v>
      </c>
      <c r="E45" s="24">
        <v>0.061</v>
      </c>
      <c r="F45" s="17">
        <f t="shared" si="1"/>
        <v>610</v>
      </c>
    </row>
    <row r="46" spans="1:6">
      <c r="A46" s="23">
        <v>8.6</v>
      </c>
      <c r="B46" s="23">
        <v>21.4</v>
      </c>
      <c r="C46" s="24">
        <v>0.595</v>
      </c>
      <c r="D46" s="26">
        <v>-19.8325221554474</v>
      </c>
      <c r="E46" s="24">
        <v>0.066</v>
      </c>
      <c r="F46" s="17">
        <f t="shared" si="1"/>
        <v>660</v>
      </c>
    </row>
    <row r="47" spans="1:6">
      <c r="A47" s="23">
        <v>8.8</v>
      </c>
      <c r="B47" s="23">
        <v>23.8</v>
      </c>
      <c r="C47" s="24">
        <v>0.586</v>
      </c>
      <c r="D47" s="26">
        <v>-19.8115715300036</v>
      </c>
      <c r="E47" s="24">
        <v>0.074</v>
      </c>
      <c r="F47" s="17">
        <f t="shared" si="1"/>
        <v>740</v>
      </c>
    </row>
    <row r="48" spans="1:6">
      <c r="A48" s="23">
        <v>9</v>
      </c>
      <c r="B48" s="23">
        <v>25.1</v>
      </c>
      <c r="C48" s="24">
        <v>0.576</v>
      </c>
      <c r="D48" s="26">
        <v>-19.7886399100623</v>
      </c>
      <c r="E48" s="24">
        <v>0.078</v>
      </c>
      <c r="F48" s="17">
        <f t="shared" si="1"/>
        <v>780</v>
      </c>
    </row>
    <row r="49" spans="1:6">
      <c r="A49" s="23">
        <v>9.2</v>
      </c>
      <c r="B49" s="23">
        <v>26.7</v>
      </c>
      <c r="C49" s="24">
        <v>0.568</v>
      </c>
      <c r="D49" s="26">
        <v>-19.7641935453112</v>
      </c>
      <c r="E49" s="24">
        <v>0.083</v>
      </c>
      <c r="F49" s="17">
        <f t="shared" si="1"/>
        <v>830</v>
      </c>
    </row>
    <row r="50" spans="1:6">
      <c r="A50" s="23">
        <v>9.4</v>
      </c>
      <c r="B50" s="23">
        <v>27.8</v>
      </c>
      <c r="C50" s="24">
        <v>0.559</v>
      </c>
      <c r="D50" s="26">
        <v>-19.7383556279195</v>
      </c>
      <c r="E50" s="24">
        <v>0.09</v>
      </c>
      <c r="F50" s="17">
        <f t="shared" si="1"/>
        <v>900</v>
      </c>
    </row>
    <row r="51" spans="1:6">
      <c r="A51" s="23">
        <v>9.6</v>
      </c>
      <c r="B51" s="23">
        <v>29.4</v>
      </c>
      <c r="C51" s="24">
        <v>0.551</v>
      </c>
      <c r="D51" s="26">
        <v>-19.7111325575219</v>
      </c>
      <c r="E51" s="24">
        <v>0.092</v>
      </c>
      <c r="F51" s="17">
        <f t="shared" si="1"/>
        <v>920</v>
      </c>
    </row>
    <row r="52" spans="1:6">
      <c r="A52" s="23">
        <v>9.8</v>
      </c>
      <c r="B52" s="23">
        <v>30.9</v>
      </c>
      <c r="C52" s="24">
        <v>0.544</v>
      </c>
      <c r="D52" s="26">
        <v>-19.6822898265502</v>
      </c>
      <c r="E52" s="24">
        <v>0.097</v>
      </c>
      <c r="F52" s="17">
        <f t="shared" si="1"/>
        <v>970</v>
      </c>
    </row>
    <row r="53" spans="1:6">
      <c r="A53" s="23">
        <v>10</v>
      </c>
      <c r="B53" s="23">
        <v>32.7</v>
      </c>
      <c r="C53" s="24">
        <v>0.538</v>
      </c>
      <c r="D53" s="26">
        <v>-19.6517115275147</v>
      </c>
      <c r="E53" s="24">
        <v>0.102</v>
      </c>
      <c r="F53" s="17">
        <f t="shared" si="1"/>
        <v>1020</v>
      </c>
    </row>
    <row r="54" spans="1:6">
      <c r="A54" s="23">
        <v>10.2</v>
      </c>
      <c r="B54" s="23">
        <v>34.1</v>
      </c>
      <c r="C54" s="24">
        <v>0.531</v>
      </c>
      <c r="D54" s="26">
        <v>-19.6194645915181</v>
      </c>
      <c r="E54" s="24">
        <v>0.106</v>
      </c>
      <c r="F54" s="17">
        <f t="shared" si="1"/>
        <v>1060</v>
      </c>
    </row>
    <row r="55" spans="1:6">
      <c r="A55" s="23">
        <v>10.4</v>
      </c>
      <c r="B55" s="23">
        <v>35.9</v>
      </c>
      <c r="C55" s="24">
        <v>0.525</v>
      </c>
      <c r="D55" s="26">
        <v>-19.5855556675234</v>
      </c>
      <c r="E55" s="24">
        <v>0.113</v>
      </c>
      <c r="F55" s="17">
        <f t="shared" si="1"/>
        <v>1130</v>
      </c>
    </row>
    <row r="56" spans="1:6">
      <c r="A56" s="23">
        <v>10.6</v>
      </c>
      <c r="B56" s="23">
        <v>37.4</v>
      </c>
      <c r="C56" s="24">
        <v>0.52</v>
      </c>
      <c r="D56" s="26">
        <v>-19.5499304519921</v>
      </c>
      <c r="E56" s="24">
        <v>0.117</v>
      </c>
      <c r="F56" s="17">
        <f t="shared" si="1"/>
        <v>1170</v>
      </c>
    </row>
    <row r="57" spans="1:6">
      <c r="A57" s="23">
        <v>10.8</v>
      </c>
      <c r="B57" s="23">
        <v>39.6</v>
      </c>
      <c r="C57" s="24">
        <v>0.513</v>
      </c>
      <c r="D57" s="26">
        <v>-19.5123469549534</v>
      </c>
      <c r="E57" s="24">
        <v>0.126</v>
      </c>
      <c r="F57" s="17">
        <f t="shared" si="1"/>
        <v>1260</v>
      </c>
    </row>
    <row r="58" spans="1:6">
      <c r="A58" s="23">
        <v>11</v>
      </c>
      <c r="B58" s="23">
        <v>40.5</v>
      </c>
      <c r="C58" s="24">
        <v>0.511</v>
      </c>
      <c r="D58" s="26">
        <v>-19.4731881161943</v>
      </c>
      <c r="E58" s="24">
        <v>0.131</v>
      </c>
      <c r="F58" s="17">
        <f t="shared" si="1"/>
        <v>1310</v>
      </c>
    </row>
    <row r="59" spans="1:6">
      <c r="A59" s="23">
        <v>11.2</v>
      </c>
      <c r="B59" s="23">
        <v>41.9</v>
      </c>
      <c r="C59" s="24">
        <v>0.507</v>
      </c>
      <c r="D59" s="26">
        <v>-19.4329621612014</v>
      </c>
      <c r="E59" s="24">
        <v>0.134</v>
      </c>
      <c r="F59" s="17">
        <f t="shared" si="1"/>
        <v>1340</v>
      </c>
    </row>
    <row r="60" spans="1:6">
      <c r="A60" s="23">
        <v>11.4</v>
      </c>
      <c r="B60" s="23">
        <v>43.8</v>
      </c>
      <c r="C60" s="24">
        <v>0.504</v>
      </c>
      <c r="D60" s="26">
        <v>-19.3910488519049</v>
      </c>
      <c r="E60" s="24">
        <v>0.143</v>
      </c>
      <c r="F60" s="17">
        <f t="shared" si="1"/>
        <v>1430</v>
      </c>
    </row>
    <row r="61" spans="1:6">
      <c r="A61" s="23">
        <v>11.6</v>
      </c>
      <c r="B61" s="23">
        <v>45.4</v>
      </c>
      <c r="C61" s="24">
        <v>0.501</v>
      </c>
      <c r="D61" s="26">
        <v>-19.3473300657778</v>
      </c>
      <c r="E61" s="24">
        <v>0.144</v>
      </c>
      <c r="F61" s="17">
        <f t="shared" si="1"/>
        <v>1440</v>
      </c>
    </row>
    <row r="62" spans="1:6">
      <c r="A62" s="23">
        <v>11.8</v>
      </c>
      <c r="B62" s="23">
        <v>47.1</v>
      </c>
      <c r="C62" s="24">
        <v>0.498</v>
      </c>
      <c r="D62" s="26">
        <v>-19.3019396153692</v>
      </c>
      <c r="E62" s="24">
        <v>0.15</v>
      </c>
      <c r="F62" s="17">
        <f t="shared" si="1"/>
        <v>1500</v>
      </c>
    </row>
    <row r="63" spans="1:6">
      <c r="A63" s="23">
        <v>12</v>
      </c>
      <c r="B63" s="23">
        <v>48.3</v>
      </c>
      <c r="C63" s="24">
        <v>0.495</v>
      </c>
      <c r="D63" s="26">
        <v>-19.2551373840846</v>
      </c>
      <c r="E63" s="24">
        <v>0.154</v>
      </c>
      <c r="F63" s="17">
        <f t="shared" si="1"/>
        <v>1540</v>
      </c>
    </row>
    <row r="64" spans="1:6">
      <c r="A64" s="23">
        <v>12.2</v>
      </c>
      <c r="B64" s="23">
        <v>50.9</v>
      </c>
      <c r="C64" s="24">
        <v>0.493</v>
      </c>
      <c r="D64" s="26">
        <v>-19.2063637815846</v>
      </c>
      <c r="E64" s="24">
        <v>0.162</v>
      </c>
      <c r="F64" s="17">
        <f t="shared" si="1"/>
        <v>1620</v>
      </c>
    </row>
    <row r="65" spans="1:6">
      <c r="A65" s="23">
        <v>12.4</v>
      </c>
      <c r="B65" s="23">
        <v>52.2</v>
      </c>
      <c r="C65" s="24">
        <v>0.49</v>
      </c>
      <c r="D65" s="26">
        <v>-19.1555645282742</v>
      </c>
      <c r="E65" s="24">
        <v>0.167</v>
      </c>
      <c r="F65" s="17">
        <f t="shared" si="1"/>
        <v>1670</v>
      </c>
    </row>
    <row r="66" spans="1:6">
      <c r="A66" s="23">
        <v>12.6</v>
      </c>
      <c r="B66" s="23">
        <v>53.9</v>
      </c>
      <c r="C66" s="24">
        <v>0.489</v>
      </c>
      <c r="D66" s="26">
        <v>-19.1033182463678</v>
      </c>
      <c r="E66" s="24">
        <v>0.172</v>
      </c>
      <c r="F66" s="17">
        <f t="shared" si="1"/>
        <v>1720</v>
      </c>
    </row>
    <row r="67" spans="1:6">
      <c r="A67" s="23">
        <v>12.8</v>
      </c>
      <c r="B67" s="23">
        <v>55.7</v>
      </c>
      <c r="C67" s="24">
        <v>0.487</v>
      </c>
      <c r="D67" s="26">
        <v>-19.0493135425956</v>
      </c>
      <c r="E67" s="24">
        <v>0.176</v>
      </c>
      <c r="F67" s="17">
        <f t="shared" si="1"/>
        <v>1760</v>
      </c>
    </row>
    <row r="68" spans="1:6">
      <c r="A68" s="23">
        <v>13</v>
      </c>
      <c r="B68" s="23">
        <v>56.5</v>
      </c>
      <c r="C68" s="24">
        <v>0.486</v>
      </c>
      <c r="D68" s="26">
        <v>-18.9941262143831</v>
      </c>
      <c r="E68" s="24">
        <v>0.18</v>
      </c>
      <c r="F68" s="17">
        <f t="shared" ref="F68:F99" si="2">E68*10000</f>
        <v>1800</v>
      </c>
    </row>
    <row r="69" spans="1:6">
      <c r="A69" s="23">
        <v>13.2</v>
      </c>
      <c r="B69" s="23">
        <v>58.3</v>
      </c>
      <c r="C69" s="24">
        <v>0.485</v>
      </c>
      <c r="D69" s="26">
        <v>-18.9377574074209</v>
      </c>
      <c r="E69" s="24">
        <v>0.185</v>
      </c>
      <c r="F69" s="17">
        <f t="shared" si="2"/>
        <v>1850</v>
      </c>
    </row>
    <row r="70" spans="1:6">
      <c r="A70" s="23">
        <v>13.4</v>
      </c>
      <c r="B70" s="23">
        <v>59.7</v>
      </c>
      <c r="C70" s="24">
        <v>0.485</v>
      </c>
      <c r="D70" s="26">
        <v>-18.879828857805</v>
      </c>
      <c r="E70" s="24">
        <v>0.189</v>
      </c>
      <c r="F70" s="17">
        <f t="shared" si="2"/>
        <v>1890</v>
      </c>
    </row>
    <row r="71" spans="1:6">
      <c r="A71" s="23">
        <v>13.6</v>
      </c>
      <c r="B71" s="23">
        <v>61.4</v>
      </c>
      <c r="C71" s="24">
        <v>0.484</v>
      </c>
      <c r="D71" s="26">
        <v>-18.8204059050561</v>
      </c>
      <c r="E71" s="24">
        <v>0.195</v>
      </c>
      <c r="F71" s="17">
        <f t="shared" si="2"/>
        <v>1950</v>
      </c>
    </row>
    <row r="72" spans="1:6">
      <c r="A72" s="23">
        <v>13.8</v>
      </c>
      <c r="B72" s="23">
        <v>61.8</v>
      </c>
      <c r="C72" s="24">
        <v>0.489</v>
      </c>
      <c r="D72" s="26">
        <v>-18.7601828747876</v>
      </c>
      <c r="E72" s="24">
        <v>0.199</v>
      </c>
      <c r="F72" s="17">
        <f t="shared" si="2"/>
        <v>1990</v>
      </c>
    </row>
    <row r="73" spans="1:6">
      <c r="A73" s="23">
        <v>14</v>
      </c>
      <c r="B73" s="23">
        <v>62.2</v>
      </c>
      <c r="C73" s="24">
        <v>0.496</v>
      </c>
      <c r="D73" s="26">
        <v>-18.7003224217948</v>
      </c>
      <c r="E73" s="24">
        <v>0.2</v>
      </c>
      <c r="F73" s="17">
        <f t="shared" si="2"/>
        <v>2000</v>
      </c>
    </row>
    <row r="74" spans="1:6">
      <c r="A74" s="23">
        <v>14.2</v>
      </c>
      <c r="B74" s="23">
        <v>61.8</v>
      </c>
      <c r="C74" s="24">
        <v>0.502</v>
      </c>
      <c r="D74" s="26">
        <v>-18.6411501570276</v>
      </c>
      <c r="E74" s="24">
        <v>0.201</v>
      </c>
      <c r="F74" s="17">
        <f t="shared" si="2"/>
        <v>2010</v>
      </c>
    </row>
    <row r="75" spans="1:6">
      <c r="A75" s="23">
        <v>14.4</v>
      </c>
      <c r="B75" s="23">
        <v>62.1</v>
      </c>
      <c r="C75" s="24">
        <v>0.507</v>
      </c>
      <c r="D75" s="26">
        <v>-18.5825330917902</v>
      </c>
      <c r="E75" s="24">
        <v>0.2</v>
      </c>
      <c r="F75" s="17">
        <f t="shared" si="2"/>
        <v>2000</v>
      </c>
    </row>
    <row r="76" spans="1:6">
      <c r="A76" s="23">
        <v>14.6</v>
      </c>
      <c r="B76" s="23">
        <v>61.8</v>
      </c>
      <c r="C76" s="24">
        <v>0.512</v>
      </c>
      <c r="D76" s="26">
        <v>-18.5244667780002</v>
      </c>
      <c r="E76" s="24">
        <v>0.199</v>
      </c>
      <c r="F76" s="17">
        <f t="shared" si="2"/>
        <v>1990</v>
      </c>
    </row>
    <row r="77" spans="1:6">
      <c r="A77" s="23">
        <v>14.8</v>
      </c>
      <c r="B77" s="23">
        <v>61.9</v>
      </c>
      <c r="C77" s="24">
        <v>0.517</v>
      </c>
      <c r="D77" s="26">
        <v>-18.4669961897243</v>
      </c>
      <c r="E77" s="24">
        <v>0.199</v>
      </c>
      <c r="F77" s="17">
        <f t="shared" si="2"/>
        <v>1990</v>
      </c>
    </row>
    <row r="78" spans="1:6">
      <c r="A78" s="23">
        <v>15</v>
      </c>
      <c r="B78" s="23">
        <v>62.1</v>
      </c>
      <c r="C78" s="24">
        <v>0.521</v>
      </c>
      <c r="D78" s="26">
        <v>-18.4097608264111</v>
      </c>
      <c r="E78" s="24">
        <v>0.2</v>
      </c>
      <c r="F78" s="17">
        <f t="shared" si="2"/>
        <v>2000</v>
      </c>
    </row>
    <row r="79" spans="1:6">
      <c r="A79" s="23">
        <v>15.2</v>
      </c>
      <c r="B79" s="23">
        <v>61.7</v>
      </c>
      <c r="C79" s="24">
        <v>0.526</v>
      </c>
      <c r="D79" s="26">
        <v>-18.3530378325231</v>
      </c>
      <c r="E79" s="24">
        <v>0.2</v>
      </c>
      <c r="F79" s="17">
        <f t="shared" si="2"/>
        <v>2000</v>
      </c>
    </row>
    <row r="80" spans="1:6">
      <c r="A80" s="23">
        <v>15.4</v>
      </c>
      <c r="B80" s="23">
        <v>61.8</v>
      </c>
      <c r="C80" s="24">
        <v>0.53</v>
      </c>
      <c r="D80" s="26">
        <v>-18.2968607981815</v>
      </c>
      <c r="E80" s="24">
        <v>0.199</v>
      </c>
      <c r="F80" s="17">
        <f t="shared" si="2"/>
        <v>1990</v>
      </c>
    </row>
    <row r="81" spans="1:6">
      <c r="A81" s="23">
        <v>15.6</v>
      </c>
      <c r="B81" s="23">
        <v>62</v>
      </c>
      <c r="C81" s="24">
        <v>0.534</v>
      </c>
      <c r="D81" s="26">
        <v>-18.2408500768948</v>
      </c>
      <c r="E81" s="24">
        <v>0.199</v>
      </c>
      <c r="F81" s="17">
        <f t="shared" si="2"/>
        <v>1990</v>
      </c>
    </row>
    <row r="82" spans="1:6">
      <c r="A82" s="23">
        <v>15.8</v>
      </c>
      <c r="B82" s="23">
        <v>61.9</v>
      </c>
      <c r="C82" s="24">
        <v>0.538</v>
      </c>
      <c r="D82" s="26">
        <v>-18.185156048898</v>
      </c>
      <c r="E82" s="24">
        <v>0.2</v>
      </c>
      <c r="F82" s="17">
        <f t="shared" si="2"/>
        <v>2000</v>
      </c>
    </row>
    <row r="83" spans="1:6">
      <c r="A83" s="23">
        <v>16</v>
      </c>
      <c r="B83" s="23">
        <v>62</v>
      </c>
      <c r="C83" s="24">
        <v>0.54</v>
      </c>
      <c r="D83" s="26">
        <v>-18.1297802088295</v>
      </c>
      <c r="E83" s="24">
        <v>0.2</v>
      </c>
      <c r="F83" s="17">
        <f t="shared" si="2"/>
        <v>2000</v>
      </c>
    </row>
    <row r="84" spans="1:6">
      <c r="A84" s="23">
        <v>16.2</v>
      </c>
      <c r="B84" s="23">
        <v>62.1</v>
      </c>
      <c r="C84" s="24">
        <v>0.545</v>
      </c>
      <c r="D84" s="26">
        <v>-18.07458404113</v>
      </c>
      <c r="E84" s="24">
        <v>0.201</v>
      </c>
      <c r="F84" s="17">
        <f t="shared" si="2"/>
        <v>2010</v>
      </c>
    </row>
    <row r="85" spans="1:6">
      <c r="A85" s="23">
        <v>16.4</v>
      </c>
      <c r="B85" s="23">
        <v>62</v>
      </c>
      <c r="C85" s="24">
        <v>0.549</v>
      </c>
      <c r="D85" s="26">
        <v>-18.0196740285984</v>
      </c>
      <c r="E85" s="24">
        <v>0.2</v>
      </c>
      <c r="F85" s="17">
        <f t="shared" si="2"/>
        <v>2000</v>
      </c>
    </row>
    <row r="86" spans="1:6">
      <c r="A86" s="23">
        <v>16.6</v>
      </c>
      <c r="B86" s="23">
        <v>61.9</v>
      </c>
      <c r="C86" s="24">
        <v>0.552</v>
      </c>
      <c r="D86" s="26">
        <v>-17.9651575039938</v>
      </c>
      <c r="E86" s="24">
        <v>0.199</v>
      </c>
      <c r="F86" s="17">
        <f t="shared" si="2"/>
        <v>1990</v>
      </c>
    </row>
    <row r="87" spans="1:6">
      <c r="A87" s="23">
        <v>16.8</v>
      </c>
      <c r="B87" s="23">
        <v>62.2</v>
      </c>
      <c r="C87" s="24">
        <v>0.555</v>
      </c>
      <c r="D87" s="26">
        <v>-17.9107954783297</v>
      </c>
      <c r="E87" s="24">
        <v>0.2</v>
      </c>
      <c r="F87" s="17">
        <f t="shared" si="2"/>
        <v>2000</v>
      </c>
    </row>
    <row r="88" spans="1:6">
      <c r="A88" s="23">
        <v>17</v>
      </c>
      <c r="B88" s="23">
        <v>61.9</v>
      </c>
      <c r="C88" s="24">
        <v>0.558</v>
      </c>
      <c r="D88" s="26">
        <v>-17.8567000534508</v>
      </c>
      <c r="E88" s="24">
        <v>0.2</v>
      </c>
      <c r="F88" s="17">
        <f t="shared" si="2"/>
        <v>2000</v>
      </c>
    </row>
    <row r="89" spans="1:6">
      <c r="A89" s="23">
        <v>17.2</v>
      </c>
      <c r="B89" s="23">
        <v>61.9</v>
      </c>
      <c r="C89" s="24">
        <v>0.561</v>
      </c>
      <c r="D89" s="26">
        <v>-17.8030414302596</v>
      </c>
      <c r="E89" s="24">
        <v>0.2</v>
      </c>
      <c r="F89" s="17">
        <f t="shared" si="2"/>
        <v>2000</v>
      </c>
    </row>
    <row r="90" spans="1:6">
      <c r="A90" s="23">
        <v>17.4</v>
      </c>
      <c r="B90" s="23">
        <v>61.9</v>
      </c>
      <c r="C90" s="24">
        <v>0.564</v>
      </c>
      <c r="D90" s="26">
        <v>-17.7496455656364</v>
      </c>
      <c r="E90" s="24">
        <v>0.2</v>
      </c>
      <c r="F90" s="17">
        <f t="shared" si="2"/>
        <v>2000</v>
      </c>
    </row>
    <row r="91" spans="1:6">
      <c r="A91" s="23">
        <v>17.6</v>
      </c>
      <c r="B91" s="23">
        <v>62</v>
      </c>
      <c r="C91" s="24">
        <v>0.567</v>
      </c>
      <c r="D91" s="26">
        <v>-17.6964564674006</v>
      </c>
      <c r="E91" s="24">
        <v>0.2</v>
      </c>
      <c r="F91" s="17">
        <f t="shared" si="2"/>
        <v>2000</v>
      </c>
    </row>
    <row r="92" spans="1:6">
      <c r="A92" s="23">
        <v>17.8</v>
      </c>
      <c r="B92" s="23">
        <v>62</v>
      </c>
      <c r="C92" s="24">
        <v>0.57</v>
      </c>
      <c r="D92" s="26">
        <v>-17.6434773320284</v>
      </c>
      <c r="E92" s="24">
        <v>0.2</v>
      </c>
      <c r="F92" s="17">
        <f t="shared" si="2"/>
        <v>2000</v>
      </c>
    </row>
    <row r="93" spans="1:6">
      <c r="A93" s="23">
        <v>18</v>
      </c>
      <c r="B93" s="23">
        <v>61.8</v>
      </c>
      <c r="C93" s="24">
        <v>0.573</v>
      </c>
      <c r="D93" s="26">
        <v>-17.5908835498837</v>
      </c>
      <c r="E93" s="24">
        <v>0.199</v>
      </c>
      <c r="F93" s="17">
        <f t="shared" si="2"/>
        <v>1990</v>
      </c>
    </row>
    <row r="94" spans="1:6">
      <c r="A94" s="23">
        <v>18.2</v>
      </c>
      <c r="B94" s="23">
        <v>61.8</v>
      </c>
      <c r="C94" s="24">
        <v>0.576</v>
      </c>
      <c r="D94" s="26">
        <v>-17.538679352748</v>
      </c>
      <c r="E94" s="24">
        <v>0.199</v>
      </c>
      <c r="F94" s="17">
        <f t="shared" si="2"/>
        <v>1990</v>
      </c>
    </row>
    <row r="95" spans="1:6">
      <c r="A95" s="23">
        <v>18.4</v>
      </c>
      <c r="B95" s="23">
        <v>61.8</v>
      </c>
      <c r="C95" s="24">
        <v>0.579</v>
      </c>
      <c r="D95" s="26">
        <v>-17.4867562797198</v>
      </c>
      <c r="E95" s="24">
        <v>0.199</v>
      </c>
      <c r="F95" s="17">
        <f t="shared" si="2"/>
        <v>1990</v>
      </c>
    </row>
    <row r="96" spans="1:6">
      <c r="A96" s="23">
        <v>18.6</v>
      </c>
      <c r="B96" s="23">
        <v>62</v>
      </c>
      <c r="C96" s="24">
        <v>0.581</v>
      </c>
      <c r="D96" s="26">
        <v>-17.435007153861</v>
      </c>
      <c r="E96" s="24">
        <v>0.2</v>
      </c>
      <c r="F96" s="17">
        <f t="shared" si="2"/>
        <v>2000</v>
      </c>
    </row>
    <row r="97" spans="1:6">
      <c r="A97" s="23">
        <v>18.8</v>
      </c>
      <c r="B97" s="23">
        <v>62</v>
      </c>
      <c r="C97" s="24">
        <v>0.584</v>
      </c>
      <c r="D97" s="26">
        <v>-17.3834382620672</v>
      </c>
      <c r="E97" s="24">
        <v>0.199</v>
      </c>
      <c r="F97" s="17">
        <f t="shared" si="2"/>
        <v>1990</v>
      </c>
    </row>
    <row r="98" spans="1:6">
      <c r="A98" s="23">
        <v>19</v>
      </c>
      <c r="B98" s="23">
        <v>61.9</v>
      </c>
      <c r="C98" s="24">
        <v>0.587</v>
      </c>
      <c r="D98" s="26">
        <v>-17.3322242155644</v>
      </c>
      <c r="E98" s="24">
        <v>0.2</v>
      </c>
      <c r="F98" s="17">
        <f t="shared" si="2"/>
        <v>2000</v>
      </c>
    </row>
    <row r="99" spans="1:6">
      <c r="A99" s="23">
        <v>19.2</v>
      </c>
      <c r="B99" s="23">
        <v>62</v>
      </c>
      <c r="C99" s="24">
        <v>0.589</v>
      </c>
      <c r="D99" s="26">
        <v>-17.2813135531451</v>
      </c>
      <c r="E99" s="24">
        <v>0.2</v>
      </c>
      <c r="F99" s="17">
        <f t="shared" si="2"/>
        <v>2000</v>
      </c>
    </row>
    <row r="100" spans="1:6">
      <c r="A100" s="23">
        <v>19.4</v>
      </c>
      <c r="B100" s="23">
        <v>62</v>
      </c>
      <c r="C100" s="24">
        <v>0.591</v>
      </c>
      <c r="D100" s="26">
        <v>-17.2306589946743</v>
      </c>
      <c r="E100" s="24">
        <v>0.2</v>
      </c>
      <c r="F100" s="17">
        <f t="shared" ref="F100:F131" si="3">E100*10000</f>
        <v>2000</v>
      </c>
    </row>
    <row r="101" spans="1:6">
      <c r="A101" s="23">
        <v>19.6</v>
      </c>
      <c r="B101" s="23">
        <v>62.1</v>
      </c>
      <c r="C101" s="24">
        <v>0.594</v>
      </c>
      <c r="D101" s="26">
        <v>-17.1802653092875</v>
      </c>
      <c r="E101" s="24">
        <v>0.2</v>
      </c>
      <c r="F101" s="17">
        <f t="shared" si="3"/>
        <v>2000</v>
      </c>
    </row>
    <row r="102" spans="1:6">
      <c r="A102" s="23">
        <v>19.8</v>
      </c>
      <c r="B102" s="23">
        <v>62</v>
      </c>
      <c r="C102" s="24">
        <v>0.596</v>
      </c>
      <c r="D102" s="26">
        <v>-17.1301908810118</v>
      </c>
      <c r="E102" s="24">
        <v>0.2</v>
      </c>
      <c r="F102" s="17">
        <f t="shared" si="3"/>
        <v>2000</v>
      </c>
    </row>
    <row r="103" spans="1:6">
      <c r="A103" s="23">
        <v>20</v>
      </c>
      <c r="B103" s="23">
        <v>61.9</v>
      </c>
      <c r="C103" s="24">
        <v>0.599</v>
      </c>
      <c r="D103" s="26">
        <v>-17.0805443528141</v>
      </c>
      <c r="E103" s="24">
        <v>0.199</v>
      </c>
      <c r="F103" s="17">
        <f t="shared" si="3"/>
        <v>1990</v>
      </c>
    </row>
    <row r="104" spans="1:6">
      <c r="A104" s="23">
        <v>20.2</v>
      </c>
      <c r="B104" s="23">
        <v>62</v>
      </c>
      <c r="C104" s="24">
        <v>0.601</v>
      </c>
      <c r="D104" s="26">
        <v>-17.0312068954266</v>
      </c>
      <c r="E104" s="24">
        <v>0.2</v>
      </c>
      <c r="F104" s="17">
        <f t="shared" si="3"/>
        <v>2000</v>
      </c>
    </row>
    <row r="105" spans="1:6">
      <c r="A105" s="23">
        <v>20.4</v>
      </c>
      <c r="B105" s="23">
        <v>61.9</v>
      </c>
      <c r="C105" s="24">
        <v>0.603</v>
      </c>
      <c r="D105" s="26">
        <v>-16.9821706775262</v>
      </c>
      <c r="E105" s="24">
        <v>0.2</v>
      </c>
      <c r="F105" s="17">
        <f t="shared" si="3"/>
        <v>2000</v>
      </c>
    </row>
    <row r="106" spans="1:6">
      <c r="A106" s="23">
        <v>20.6</v>
      </c>
      <c r="B106" s="23">
        <v>62</v>
      </c>
      <c r="C106" s="24">
        <v>0.605</v>
      </c>
      <c r="D106" s="26">
        <v>-16.9334243695405</v>
      </c>
      <c r="E106" s="24">
        <v>0.2</v>
      </c>
      <c r="F106" s="17">
        <f t="shared" si="3"/>
        <v>2000</v>
      </c>
    </row>
    <row r="107" spans="1:6">
      <c r="A107" s="23">
        <v>20.8</v>
      </c>
      <c r="B107" s="23">
        <v>62.1</v>
      </c>
      <c r="C107" s="24">
        <v>0.607</v>
      </c>
      <c r="D107" s="26">
        <v>-16.8848441698689</v>
      </c>
      <c r="E107" s="24">
        <v>0.2</v>
      </c>
      <c r="F107" s="17">
        <f t="shared" si="3"/>
        <v>2000</v>
      </c>
    </row>
    <row r="108" spans="1:6">
      <c r="A108" s="23">
        <v>21</v>
      </c>
      <c r="B108" s="23">
        <v>61.8</v>
      </c>
      <c r="C108" s="24">
        <v>0.609</v>
      </c>
      <c r="D108" s="26">
        <v>-16.836635370647</v>
      </c>
      <c r="E108" s="24">
        <v>0.199</v>
      </c>
      <c r="F108" s="17">
        <f t="shared" si="3"/>
        <v>1990</v>
      </c>
    </row>
    <row r="109" spans="1:6">
      <c r="A109" s="23">
        <v>21.2</v>
      </c>
      <c r="B109" s="23">
        <v>62</v>
      </c>
      <c r="C109" s="24">
        <v>0.611</v>
      </c>
      <c r="D109" s="26">
        <v>-16.788728988147</v>
      </c>
      <c r="E109" s="24">
        <v>0.2</v>
      </c>
      <c r="F109" s="17">
        <f t="shared" si="3"/>
        <v>2000</v>
      </c>
    </row>
    <row r="110" spans="1:6">
      <c r="A110" s="23">
        <v>21.4</v>
      </c>
      <c r="B110" s="23">
        <v>61.9</v>
      </c>
      <c r="C110" s="24">
        <v>0.614</v>
      </c>
      <c r="D110" s="26">
        <v>-16.741004635948</v>
      </c>
      <c r="E110" s="24">
        <v>0.2</v>
      </c>
      <c r="F110" s="17">
        <f t="shared" si="3"/>
        <v>2000</v>
      </c>
    </row>
    <row r="111" spans="1:6">
      <c r="A111" s="23">
        <v>21.6</v>
      </c>
      <c r="B111" s="23">
        <v>61.9</v>
      </c>
      <c r="C111" s="24">
        <v>0.616</v>
      </c>
      <c r="D111" s="26">
        <v>-16.6935638366185</v>
      </c>
      <c r="E111" s="24">
        <v>0.2</v>
      </c>
      <c r="F111" s="17">
        <f t="shared" si="3"/>
        <v>2000</v>
      </c>
    </row>
    <row r="112" spans="1:6">
      <c r="A112" s="23">
        <v>21.8</v>
      </c>
      <c r="B112" s="23">
        <v>62</v>
      </c>
      <c r="C112" s="24">
        <v>0.618</v>
      </c>
      <c r="D112" s="26">
        <v>-16.6462931275465</v>
      </c>
      <c r="E112" s="24">
        <v>0.199</v>
      </c>
      <c r="F112" s="17">
        <f t="shared" si="3"/>
        <v>1990</v>
      </c>
    </row>
    <row r="113" spans="1:6">
      <c r="A113" s="23">
        <v>22</v>
      </c>
      <c r="B113" s="23">
        <v>61.9</v>
      </c>
      <c r="C113" s="24">
        <v>0.619</v>
      </c>
      <c r="D113" s="26">
        <v>-16.5992452104321</v>
      </c>
      <c r="E113" s="24">
        <v>0.2</v>
      </c>
      <c r="F113" s="17">
        <f t="shared" si="3"/>
        <v>2000</v>
      </c>
    </row>
    <row r="114" spans="1:6">
      <c r="A114" s="23">
        <v>22.2</v>
      </c>
      <c r="B114" s="23">
        <v>62.1</v>
      </c>
      <c r="C114" s="24">
        <v>0.621</v>
      </c>
      <c r="D114" s="26">
        <v>-16.5523661575757</v>
      </c>
      <c r="E114" s="24">
        <v>0.2</v>
      </c>
      <c r="F114" s="17">
        <f t="shared" si="3"/>
        <v>2000</v>
      </c>
    </row>
    <row r="115" spans="1:6">
      <c r="A115" s="23">
        <v>22.4</v>
      </c>
      <c r="B115" s="23">
        <v>61.8</v>
      </c>
      <c r="C115" s="24">
        <v>0.623</v>
      </c>
      <c r="D115" s="26">
        <v>-16.5057657032842</v>
      </c>
      <c r="E115" s="24">
        <v>0.2</v>
      </c>
      <c r="F115" s="17">
        <f t="shared" si="3"/>
        <v>2000</v>
      </c>
    </row>
    <row r="116" spans="1:6">
      <c r="A116" s="23">
        <v>22.6</v>
      </c>
      <c r="B116" s="23">
        <v>61.9</v>
      </c>
      <c r="C116" s="24">
        <v>0.625</v>
      </c>
      <c r="D116" s="26">
        <v>-16.459499538498</v>
      </c>
      <c r="E116" s="24">
        <v>0.199</v>
      </c>
      <c r="F116" s="17">
        <f t="shared" si="3"/>
        <v>1990</v>
      </c>
    </row>
    <row r="117" spans="1:6">
      <c r="A117" s="23">
        <v>22.8</v>
      </c>
      <c r="B117" s="23">
        <v>61.8</v>
      </c>
      <c r="C117" s="24">
        <v>0.627</v>
      </c>
      <c r="D117" s="26">
        <v>-16.4134621978536</v>
      </c>
      <c r="E117" s="24">
        <v>0.199</v>
      </c>
      <c r="F117" s="17">
        <f t="shared" si="3"/>
        <v>1990</v>
      </c>
    </row>
    <row r="118" spans="1:6">
      <c r="A118" s="23">
        <v>23</v>
      </c>
      <c r="B118" s="23">
        <v>61.9</v>
      </c>
      <c r="C118" s="24">
        <v>0.629</v>
      </c>
      <c r="D118" s="26">
        <v>-16.3676541343872</v>
      </c>
      <c r="E118" s="24">
        <v>0.201</v>
      </c>
      <c r="F118" s="17">
        <f t="shared" si="3"/>
        <v>2010</v>
      </c>
    </row>
    <row r="119" spans="1:6">
      <c r="A119" s="23">
        <v>23.2</v>
      </c>
      <c r="B119" s="23">
        <v>61.8</v>
      </c>
      <c r="C119" s="24">
        <v>0.63</v>
      </c>
      <c r="D119" s="26">
        <v>-16.3220759105454</v>
      </c>
      <c r="E119" s="24">
        <v>0.199</v>
      </c>
      <c r="F119" s="17">
        <f t="shared" si="3"/>
        <v>1990</v>
      </c>
    </row>
    <row r="120" spans="1:6">
      <c r="A120" s="23">
        <v>23.4</v>
      </c>
      <c r="B120" s="23">
        <v>62.1</v>
      </c>
      <c r="C120" s="24">
        <v>0.632</v>
      </c>
      <c r="D120" s="26">
        <v>-16.2766226768509</v>
      </c>
      <c r="E120" s="24">
        <v>0.2</v>
      </c>
      <c r="F120" s="17">
        <f t="shared" si="3"/>
        <v>2000</v>
      </c>
    </row>
    <row r="121" spans="1:6">
      <c r="A121" s="23">
        <v>23.6</v>
      </c>
      <c r="B121" s="23">
        <v>61.9</v>
      </c>
      <c r="C121" s="24">
        <v>0.634</v>
      </c>
      <c r="D121" s="26">
        <v>-16.2313497340608</v>
      </c>
      <c r="E121" s="24">
        <v>0.2</v>
      </c>
      <c r="F121" s="17">
        <f t="shared" si="3"/>
        <v>2000</v>
      </c>
    </row>
    <row r="122" spans="1:6">
      <c r="A122" s="23">
        <v>23.8</v>
      </c>
      <c r="B122" s="23">
        <v>61.7</v>
      </c>
      <c r="C122" s="24">
        <v>0.635</v>
      </c>
      <c r="D122" s="26">
        <v>-16.1865241631253</v>
      </c>
      <c r="E122" s="24">
        <v>0.199</v>
      </c>
      <c r="F122" s="17">
        <f t="shared" si="3"/>
        <v>1990</v>
      </c>
    </row>
    <row r="123" spans="1:6">
      <c r="A123" s="23">
        <v>24</v>
      </c>
      <c r="B123" s="23">
        <v>62.1</v>
      </c>
      <c r="C123" s="24">
        <v>0.637</v>
      </c>
      <c r="D123" s="26">
        <v>-16.1418277666211</v>
      </c>
      <c r="E123" s="24">
        <v>0.2</v>
      </c>
      <c r="F123" s="17">
        <f t="shared" si="3"/>
        <v>2000</v>
      </c>
    </row>
    <row r="124" spans="1:6">
      <c r="A124" s="23">
        <v>24.2</v>
      </c>
      <c r="B124" s="23">
        <v>62.8</v>
      </c>
      <c r="C124" s="24">
        <v>0.636</v>
      </c>
      <c r="D124" s="26">
        <v>-16.0967852311446</v>
      </c>
      <c r="E124" s="24">
        <v>0.199</v>
      </c>
      <c r="F124" s="17">
        <f t="shared" si="3"/>
        <v>1990</v>
      </c>
    </row>
    <row r="125" spans="1:6">
      <c r="A125" s="23">
        <v>24.4</v>
      </c>
      <c r="B125" s="23">
        <v>64.2</v>
      </c>
      <c r="C125" s="24">
        <v>0.633</v>
      </c>
      <c r="D125" s="26">
        <v>-16.0508682326829</v>
      </c>
      <c r="E125" s="24">
        <v>0.205</v>
      </c>
      <c r="F125" s="17">
        <f t="shared" si="3"/>
        <v>2050</v>
      </c>
    </row>
    <row r="126" spans="1:6">
      <c r="A126" s="23">
        <v>24.6</v>
      </c>
      <c r="B126" s="23">
        <v>65.7</v>
      </c>
      <c r="C126" s="24">
        <v>0.63</v>
      </c>
      <c r="D126" s="26">
        <v>-16.003652599772</v>
      </c>
      <c r="E126" s="24">
        <v>0.21</v>
      </c>
      <c r="F126" s="17">
        <f t="shared" si="3"/>
        <v>2100</v>
      </c>
    </row>
    <row r="127" spans="1:6">
      <c r="A127" s="23">
        <v>24.8</v>
      </c>
      <c r="B127" s="23">
        <v>67.5</v>
      </c>
      <c r="C127" s="24">
        <v>0.628</v>
      </c>
      <c r="D127" s="26">
        <v>-15.954924907593</v>
      </c>
      <c r="E127" s="24">
        <v>0.215</v>
      </c>
      <c r="F127" s="17">
        <f t="shared" si="3"/>
        <v>2150</v>
      </c>
    </row>
    <row r="128" spans="1:6">
      <c r="A128" s="23">
        <v>25</v>
      </c>
      <c r="B128" s="23">
        <v>70</v>
      </c>
      <c r="C128" s="24">
        <v>0.626</v>
      </c>
      <c r="D128" s="26">
        <v>-15.9041485054811</v>
      </c>
      <c r="E128" s="24">
        <v>0.223</v>
      </c>
      <c r="F128" s="17">
        <f t="shared" si="3"/>
        <v>2230</v>
      </c>
    </row>
    <row r="129" spans="1:6">
      <c r="A129" s="23">
        <v>25.2</v>
      </c>
      <c r="B129" s="23">
        <v>71.4</v>
      </c>
      <c r="C129" s="24">
        <v>0.624</v>
      </c>
      <c r="D129" s="26">
        <v>-15.85153635345</v>
      </c>
      <c r="E129" s="24">
        <v>0.228</v>
      </c>
      <c r="F129" s="17">
        <f t="shared" si="3"/>
        <v>2280</v>
      </c>
    </row>
    <row r="130" spans="1:6">
      <c r="A130" s="23">
        <v>25.4</v>
      </c>
      <c r="B130" s="23">
        <v>72.1</v>
      </c>
      <c r="C130" s="24">
        <v>0.622</v>
      </c>
      <c r="D130" s="26">
        <v>-15.7980596470316</v>
      </c>
      <c r="E130" s="24">
        <v>0.233</v>
      </c>
      <c r="F130" s="17">
        <f t="shared" si="3"/>
        <v>2330</v>
      </c>
    </row>
    <row r="131" spans="1:6">
      <c r="A131" s="23">
        <v>25.6</v>
      </c>
      <c r="B131" s="23">
        <v>73.8</v>
      </c>
      <c r="C131" s="24">
        <v>0.621</v>
      </c>
      <c r="D131" s="26">
        <v>-15.7435587577437</v>
      </c>
      <c r="E131" s="24">
        <v>0.235</v>
      </c>
      <c r="F131" s="17">
        <f t="shared" si="3"/>
        <v>2350</v>
      </c>
    </row>
    <row r="132" spans="1:6">
      <c r="A132" s="23">
        <v>25.8</v>
      </c>
      <c r="B132" s="23">
        <v>75.4</v>
      </c>
      <c r="C132" s="24">
        <v>0.619</v>
      </c>
      <c r="D132" s="26">
        <v>-15.6875525748034</v>
      </c>
      <c r="E132" s="24">
        <v>0.241</v>
      </c>
      <c r="F132" s="17">
        <f t="shared" ref="F132:F163" si="4">E132*10000</f>
        <v>2410</v>
      </c>
    </row>
    <row r="133" spans="1:6">
      <c r="A133" s="23">
        <v>26</v>
      </c>
      <c r="B133" s="23">
        <v>77</v>
      </c>
      <c r="C133" s="24">
        <v>0.618</v>
      </c>
      <c r="D133" s="26">
        <v>-15.6300999784535</v>
      </c>
      <c r="E133" s="24">
        <v>0.245</v>
      </c>
      <c r="F133" s="17">
        <f t="shared" si="4"/>
        <v>2450</v>
      </c>
    </row>
    <row r="134" spans="1:6">
      <c r="A134" s="23">
        <v>26.2</v>
      </c>
      <c r="B134" s="23">
        <v>78.7</v>
      </c>
      <c r="C134" s="24">
        <v>0.617</v>
      </c>
      <c r="D134" s="26">
        <v>-15.571151876878</v>
      </c>
      <c r="E134" s="24">
        <v>0.251</v>
      </c>
      <c r="F134" s="17">
        <f t="shared" si="4"/>
        <v>2510</v>
      </c>
    </row>
    <row r="135" spans="1:6">
      <c r="A135" s="23">
        <v>26.4</v>
      </c>
      <c r="B135" s="23">
        <v>80</v>
      </c>
      <c r="C135" s="24">
        <v>0.616</v>
      </c>
      <c r="D135" s="26">
        <v>-15.510876700356</v>
      </c>
      <c r="E135" s="24">
        <v>0.256</v>
      </c>
      <c r="F135" s="17">
        <f t="shared" si="4"/>
        <v>2560</v>
      </c>
    </row>
    <row r="136" spans="1:6">
      <c r="A136" s="23">
        <v>26.6</v>
      </c>
      <c r="B136" s="23">
        <v>82</v>
      </c>
      <c r="C136" s="24">
        <v>0.614</v>
      </c>
      <c r="D136" s="26">
        <v>-15.4491178623264</v>
      </c>
      <c r="E136" s="24">
        <v>0.262</v>
      </c>
      <c r="F136" s="17">
        <f t="shared" si="4"/>
        <v>2620</v>
      </c>
    </row>
    <row r="137" spans="1:6">
      <c r="A137" s="23">
        <v>26.8</v>
      </c>
      <c r="B137" s="23">
        <v>84.2</v>
      </c>
      <c r="C137" s="24">
        <v>0.614</v>
      </c>
      <c r="D137" s="26">
        <v>-15.385393061507</v>
      </c>
      <c r="E137" s="24">
        <v>0.267</v>
      </c>
      <c r="F137" s="17">
        <f t="shared" si="4"/>
        <v>2670</v>
      </c>
    </row>
    <row r="138" spans="1:6">
      <c r="A138" s="23">
        <v>27</v>
      </c>
      <c r="B138" s="23">
        <v>86</v>
      </c>
      <c r="C138" s="24">
        <v>0.613</v>
      </c>
      <c r="D138" s="26">
        <v>-15.319818389165</v>
      </c>
      <c r="E138" s="24">
        <v>0.275</v>
      </c>
      <c r="F138" s="17">
        <f t="shared" si="4"/>
        <v>2750</v>
      </c>
    </row>
    <row r="139" spans="1:6">
      <c r="A139" s="23">
        <v>27.2</v>
      </c>
      <c r="B139" s="23">
        <v>87.4</v>
      </c>
      <c r="C139" s="24">
        <v>0.612</v>
      </c>
      <c r="D139" s="26">
        <v>-15.2528373209109</v>
      </c>
      <c r="E139" s="24">
        <v>0.279</v>
      </c>
      <c r="F139" s="17">
        <f t="shared" si="4"/>
        <v>2790</v>
      </c>
    </row>
    <row r="140" spans="1:6">
      <c r="A140" s="23">
        <v>27.4</v>
      </c>
      <c r="B140" s="23">
        <v>88</v>
      </c>
      <c r="C140" s="24">
        <v>0.611</v>
      </c>
      <c r="D140" s="26">
        <v>-15.185111268293</v>
      </c>
      <c r="E140" s="24">
        <v>0.284</v>
      </c>
      <c r="F140" s="17">
        <f t="shared" si="4"/>
        <v>2840</v>
      </c>
    </row>
    <row r="141" spans="1:6">
      <c r="A141" s="23">
        <v>27.6</v>
      </c>
      <c r="B141" s="23">
        <v>89.8</v>
      </c>
      <c r="C141" s="24">
        <v>0.611</v>
      </c>
      <c r="D141" s="26">
        <v>-15.1164297314632</v>
      </c>
      <c r="E141" s="24">
        <v>0.287</v>
      </c>
      <c r="F141" s="17">
        <f t="shared" si="4"/>
        <v>2870</v>
      </c>
    </row>
    <row r="142" spans="1:6">
      <c r="A142" s="23">
        <v>27.8</v>
      </c>
      <c r="B142" s="23">
        <v>91.5</v>
      </c>
      <c r="C142" s="24">
        <v>0.61</v>
      </c>
      <c r="D142" s="26">
        <v>-15.0462048026215</v>
      </c>
      <c r="E142" s="24">
        <v>0.292</v>
      </c>
      <c r="F142" s="17">
        <f t="shared" si="4"/>
        <v>2920</v>
      </c>
    </row>
    <row r="143" spans="1:6">
      <c r="A143" s="23">
        <v>28</v>
      </c>
      <c r="B143" s="23">
        <v>92.9</v>
      </c>
      <c r="C143" s="24">
        <v>0.611</v>
      </c>
      <c r="D143" s="26">
        <v>-14.9746642060939</v>
      </c>
      <c r="E143" s="24">
        <v>0.297</v>
      </c>
      <c r="F143" s="17">
        <f t="shared" si="4"/>
        <v>2970</v>
      </c>
    </row>
    <row r="144" spans="1:6">
      <c r="A144" s="23">
        <v>28.2</v>
      </c>
      <c r="B144" s="23">
        <v>92.9</v>
      </c>
      <c r="C144" s="24">
        <v>0.613</v>
      </c>
      <c r="D144" s="26">
        <v>-14.9027369568893</v>
      </c>
      <c r="E144" s="24">
        <v>0.3</v>
      </c>
      <c r="F144" s="17">
        <f t="shared" si="4"/>
        <v>3000</v>
      </c>
    </row>
    <row r="145" spans="1:6">
      <c r="A145" s="23">
        <v>28.4</v>
      </c>
      <c r="B145" s="23">
        <v>92.9</v>
      </c>
      <c r="C145" s="24">
        <v>0.616</v>
      </c>
      <c r="D145" s="26">
        <v>-14.831182629642</v>
      </c>
      <c r="E145" s="24">
        <v>0.3</v>
      </c>
      <c r="F145" s="17">
        <f t="shared" si="4"/>
        <v>3000</v>
      </c>
    </row>
    <row r="146" spans="1:6">
      <c r="A146" s="23">
        <v>28.6</v>
      </c>
      <c r="B146" s="23">
        <v>92.7</v>
      </c>
      <c r="C146" s="24">
        <v>0.618</v>
      </c>
      <c r="D146" s="26">
        <v>-14.7601095009262</v>
      </c>
      <c r="E146" s="24">
        <v>0.299</v>
      </c>
      <c r="F146" s="17">
        <f t="shared" si="4"/>
        <v>2990</v>
      </c>
    </row>
    <row r="147" spans="1:6">
      <c r="A147" s="23">
        <v>28.8</v>
      </c>
      <c r="B147" s="23">
        <v>92.8</v>
      </c>
      <c r="C147" s="24">
        <v>0.621</v>
      </c>
      <c r="D147" s="26">
        <v>-14.6894646887449</v>
      </c>
      <c r="E147" s="24">
        <v>0.3</v>
      </c>
      <c r="F147" s="17">
        <f t="shared" si="4"/>
        <v>3000</v>
      </c>
    </row>
    <row r="148" spans="1:6">
      <c r="A148" s="23">
        <v>29</v>
      </c>
      <c r="B148" s="23">
        <v>92.8</v>
      </c>
      <c r="C148" s="24">
        <v>0.623</v>
      </c>
      <c r="D148" s="26">
        <v>-14.6191413134848</v>
      </c>
      <c r="E148" s="24">
        <v>0.299</v>
      </c>
      <c r="F148" s="17">
        <f t="shared" si="4"/>
        <v>2990</v>
      </c>
    </row>
    <row r="149" spans="1:6">
      <c r="A149" s="23">
        <v>29.2</v>
      </c>
      <c r="B149" s="23">
        <v>92.8</v>
      </c>
      <c r="C149" s="24">
        <v>0.625</v>
      </c>
      <c r="D149" s="26">
        <v>-14.5491931186382</v>
      </c>
      <c r="E149" s="24">
        <v>0.299</v>
      </c>
      <c r="F149" s="17">
        <f t="shared" si="4"/>
        <v>2990</v>
      </c>
    </row>
    <row r="150" spans="1:6">
      <c r="A150" s="23">
        <v>29.4</v>
      </c>
      <c r="B150" s="23">
        <v>93</v>
      </c>
      <c r="C150" s="24">
        <v>0.627</v>
      </c>
      <c r="D150" s="26">
        <v>-14.4795119052527</v>
      </c>
      <c r="E150" s="24">
        <v>0.3</v>
      </c>
      <c r="F150" s="17">
        <f t="shared" si="4"/>
        <v>3000</v>
      </c>
    </row>
    <row r="151" spans="1:6">
      <c r="A151" s="23">
        <v>29.6</v>
      </c>
      <c r="B151" s="23">
        <v>92.3</v>
      </c>
      <c r="C151" s="24">
        <v>0.629</v>
      </c>
      <c r="D151" s="26">
        <v>-14.4104686112941</v>
      </c>
      <c r="E151" s="24">
        <v>0.299</v>
      </c>
      <c r="F151" s="17">
        <f t="shared" si="4"/>
        <v>2990</v>
      </c>
    </row>
    <row r="152" spans="1:6">
      <c r="A152" s="23">
        <v>29.8</v>
      </c>
      <c r="B152" s="23">
        <v>93</v>
      </c>
      <c r="C152" s="24">
        <v>0.631</v>
      </c>
      <c r="D152" s="26">
        <v>-14.3417932806758</v>
      </c>
      <c r="E152" s="24">
        <v>0.299</v>
      </c>
      <c r="F152" s="17">
        <f t="shared" si="4"/>
        <v>2990</v>
      </c>
    </row>
    <row r="153" spans="1:6">
      <c r="A153" s="23">
        <v>30</v>
      </c>
      <c r="B153" s="23">
        <v>92.7</v>
      </c>
      <c r="C153" s="24">
        <v>0.633</v>
      </c>
      <c r="D153" s="26">
        <v>-14.2732706016666</v>
      </c>
      <c r="E153" s="24">
        <v>0.299</v>
      </c>
      <c r="F153" s="17">
        <f t="shared" si="4"/>
        <v>2990</v>
      </c>
    </row>
    <row r="154" spans="1:6">
      <c r="A154" s="23">
        <v>30.2</v>
      </c>
      <c r="B154" s="23">
        <v>92.9</v>
      </c>
      <c r="C154" s="24">
        <v>0.634</v>
      </c>
      <c r="D154" s="26">
        <v>-14.2051619299249</v>
      </c>
      <c r="E154" s="24">
        <v>0.299</v>
      </c>
      <c r="F154" s="17">
        <f t="shared" si="4"/>
        <v>2990</v>
      </c>
    </row>
    <row r="155" spans="1:6">
      <c r="A155" s="23">
        <v>30.4</v>
      </c>
      <c r="B155" s="23">
        <v>92.9</v>
      </c>
      <c r="C155" s="24">
        <v>0.636</v>
      </c>
      <c r="D155" s="26">
        <v>-14.137304368696</v>
      </c>
      <c r="E155" s="24">
        <v>0.299</v>
      </c>
      <c r="F155" s="17">
        <f t="shared" si="4"/>
        <v>2990</v>
      </c>
    </row>
    <row r="156" spans="1:6">
      <c r="A156" s="23">
        <v>30.6</v>
      </c>
      <c r="B156" s="23">
        <v>92.7</v>
      </c>
      <c r="C156" s="24">
        <v>0.638</v>
      </c>
      <c r="D156" s="26">
        <v>-14.0699049965948</v>
      </c>
      <c r="E156" s="24">
        <v>0.299</v>
      </c>
      <c r="F156" s="17">
        <f t="shared" si="4"/>
        <v>2990</v>
      </c>
    </row>
    <row r="157" spans="1:6">
      <c r="A157" s="23">
        <v>30.8</v>
      </c>
      <c r="B157" s="23">
        <v>92.7</v>
      </c>
      <c r="C157" s="24">
        <v>0.64</v>
      </c>
      <c r="D157" s="26">
        <v>-14.0029588016267</v>
      </c>
      <c r="E157" s="24">
        <v>0.299</v>
      </c>
      <c r="F157" s="17">
        <f t="shared" si="4"/>
        <v>2990</v>
      </c>
    </row>
    <row r="158" spans="1:6">
      <c r="A158" s="23">
        <v>31</v>
      </c>
      <c r="B158" s="23">
        <v>92.7</v>
      </c>
      <c r="C158" s="24">
        <v>0.641</v>
      </c>
      <c r="D158" s="26">
        <v>-13.9363558826567</v>
      </c>
      <c r="E158" s="24">
        <v>0.299</v>
      </c>
      <c r="F158" s="17">
        <f t="shared" si="4"/>
        <v>2990</v>
      </c>
    </row>
    <row r="159" spans="1:6">
      <c r="A159" s="23">
        <v>31.2</v>
      </c>
      <c r="B159" s="23">
        <v>92.9</v>
      </c>
      <c r="C159" s="24">
        <v>0.643</v>
      </c>
      <c r="D159" s="26">
        <v>-13.8699869366413</v>
      </c>
      <c r="E159" s="24">
        <v>0.299</v>
      </c>
      <c r="F159" s="17">
        <f t="shared" si="4"/>
        <v>2990</v>
      </c>
    </row>
    <row r="160" spans="1:6">
      <c r="A160" s="23">
        <v>31.4</v>
      </c>
      <c r="B160" s="23">
        <v>92.9</v>
      </c>
      <c r="C160" s="24">
        <v>0.644</v>
      </c>
      <c r="D160" s="26">
        <v>-13.8038476928033</v>
      </c>
      <c r="E160" s="24">
        <v>0.3</v>
      </c>
      <c r="F160" s="17">
        <f t="shared" si="4"/>
        <v>3000</v>
      </c>
    </row>
    <row r="161" spans="1:6">
      <c r="A161" s="23">
        <v>31.6</v>
      </c>
      <c r="B161" s="23">
        <v>93</v>
      </c>
      <c r="C161" s="24">
        <v>0.646</v>
      </c>
      <c r="D161" s="26">
        <v>-13.7379858828126</v>
      </c>
      <c r="E161" s="24">
        <v>0.299</v>
      </c>
      <c r="F161" s="17">
        <f t="shared" si="4"/>
        <v>2990</v>
      </c>
    </row>
    <row r="162" spans="1:6">
      <c r="A162" s="23">
        <v>31.8</v>
      </c>
      <c r="B162" s="23">
        <v>92.8</v>
      </c>
      <c r="C162" s="24">
        <v>0.647</v>
      </c>
      <c r="D162" s="26">
        <v>-13.6725009946981</v>
      </c>
      <c r="E162" s="24">
        <v>0.3</v>
      </c>
      <c r="F162" s="17">
        <f t="shared" si="4"/>
        <v>3000</v>
      </c>
    </row>
    <row r="163" spans="1:6">
      <c r="A163" s="23">
        <v>32</v>
      </c>
      <c r="B163" s="23">
        <v>92.8</v>
      </c>
      <c r="C163" s="24">
        <v>0.648</v>
      </c>
      <c r="D163" s="26">
        <v>-13.6074399128289</v>
      </c>
      <c r="E163" s="24">
        <v>0.299</v>
      </c>
      <c r="F163" s="17">
        <f t="shared" si="4"/>
        <v>2990</v>
      </c>
    </row>
    <row r="164" spans="1:6">
      <c r="A164" s="23">
        <v>32.2</v>
      </c>
      <c r="B164" s="23">
        <v>92.7</v>
      </c>
      <c r="C164" s="24">
        <v>0.65</v>
      </c>
      <c r="D164" s="26">
        <v>-13.5427454678577</v>
      </c>
      <c r="E164" s="24">
        <v>0.3</v>
      </c>
      <c r="F164" s="17">
        <f t="shared" ref="F164:F186" si="5">E164*10000</f>
        <v>3000</v>
      </c>
    </row>
    <row r="165" spans="1:6">
      <c r="A165" s="23">
        <v>32.4</v>
      </c>
      <c r="B165" s="23">
        <v>92.9</v>
      </c>
      <c r="C165" s="24">
        <v>0.651</v>
      </c>
      <c r="D165" s="26">
        <v>-13.4783090102148</v>
      </c>
      <c r="E165" s="24">
        <v>0.299</v>
      </c>
      <c r="F165" s="17">
        <f t="shared" si="5"/>
        <v>2990</v>
      </c>
    </row>
    <row r="166" spans="1:6">
      <c r="A166" s="23">
        <v>32.6</v>
      </c>
      <c r="B166" s="23">
        <v>92.9</v>
      </c>
      <c r="C166" s="24">
        <v>0.652</v>
      </c>
      <c r="D166" s="26">
        <v>-13.4140741989528</v>
      </c>
      <c r="E166" s="24">
        <v>0.3</v>
      </c>
      <c r="F166" s="17">
        <f t="shared" si="5"/>
        <v>3000</v>
      </c>
    </row>
    <row r="167" spans="1:6">
      <c r="A167" s="23">
        <v>32.8</v>
      </c>
      <c r="B167" s="23">
        <v>92.8</v>
      </c>
      <c r="C167" s="24">
        <v>0.654</v>
      </c>
      <c r="D167" s="26">
        <v>-13.3501915977414</v>
      </c>
      <c r="E167" s="24">
        <v>0.3</v>
      </c>
      <c r="F167" s="17">
        <f t="shared" si="5"/>
        <v>3000</v>
      </c>
    </row>
    <row r="168" spans="1:6">
      <c r="A168" s="23">
        <v>33</v>
      </c>
      <c r="B168" s="23">
        <v>92.9</v>
      </c>
      <c r="C168" s="24">
        <v>0.655</v>
      </c>
      <c r="D168" s="26">
        <v>-13.2866042833791</v>
      </c>
      <c r="E168" s="24">
        <v>0.3</v>
      </c>
      <c r="F168" s="17">
        <f t="shared" si="5"/>
        <v>3000</v>
      </c>
    </row>
    <row r="169" spans="1:6">
      <c r="A169" s="23">
        <v>33.2</v>
      </c>
      <c r="B169" s="23">
        <v>92.7</v>
      </c>
      <c r="C169" s="24">
        <v>0.656</v>
      </c>
      <c r="D169" s="26">
        <v>-13.2233588964154</v>
      </c>
      <c r="E169" s="24">
        <v>0.3</v>
      </c>
      <c r="F169" s="17">
        <f t="shared" si="5"/>
        <v>3000</v>
      </c>
    </row>
    <row r="170" spans="1:6">
      <c r="A170" s="23">
        <v>33.4</v>
      </c>
      <c r="B170" s="23">
        <v>92.9</v>
      </c>
      <c r="C170" s="24">
        <v>0.657</v>
      </c>
      <c r="D170" s="26">
        <v>-13.1603988969644</v>
      </c>
      <c r="E170" s="24">
        <v>0.3</v>
      </c>
      <c r="F170" s="17">
        <f t="shared" si="5"/>
        <v>3000</v>
      </c>
    </row>
    <row r="171" spans="1:6">
      <c r="A171" s="23">
        <v>33.6</v>
      </c>
      <c r="B171" s="23">
        <v>92.9</v>
      </c>
      <c r="C171" s="24">
        <v>0.658</v>
      </c>
      <c r="D171" s="26">
        <v>-13.0976166336497</v>
      </c>
      <c r="E171" s="24">
        <v>0.299</v>
      </c>
      <c r="F171" s="17">
        <f t="shared" si="5"/>
        <v>2990</v>
      </c>
    </row>
    <row r="172" spans="1:6">
      <c r="A172" s="23">
        <v>33.8</v>
      </c>
      <c r="B172" s="23">
        <v>93.1</v>
      </c>
      <c r="C172" s="24">
        <v>0.66</v>
      </c>
      <c r="D172" s="26">
        <v>-13.035007611381</v>
      </c>
      <c r="E172" s="24">
        <v>0.3</v>
      </c>
      <c r="F172" s="17">
        <f t="shared" si="5"/>
        <v>3000</v>
      </c>
    </row>
    <row r="173" spans="1:6">
      <c r="A173" s="23">
        <v>34</v>
      </c>
      <c r="B173" s="23">
        <v>92.8</v>
      </c>
      <c r="C173" s="24">
        <v>0.661</v>
      </c>
      <c r="D173" s="26">
        <v>-12.9727210038924</v>
      </c>
      <c r="E173" s="24">
        <v>0.299</v>
      </c>
      <c r="F173" s="17">
        <f t="shared" si="5"/>
        <v>2990</v>
      </c>
    </row>
    <row r="174" spans="1:6">
      <c r="A174" s="23">
        <v>34.2</v>
      </c>
      <c r="B174" s="23">
        <v>93</v>
      </c>
      <c r="C174" s="24">
        <v>0.662</v>
      </c>
      <c r="D174" s="26">
        <v>-12.9107516174725</v>
      </c>
      <c r="E174" s="24">
        <v>0.3</v>
      </c>
      <c r="F174" s="17">
        <f t="shared" si="5"/>
        <v>3000</v>
      </c>
    </row>
    <row r="175" spans="1:6">
      <c r="A175" s="23">
        <v>34.4</v>
      </c>
      <c r="B175" s="23">
        <v>92.8</v>
      </c>
      <c r="C175" s="24">
        <v>0.663</v>
      </c>
      <c r="D175" s="26">
        <v>-12.8490433399805</v>
      </c>
      <c r="E175" s="24">
        <v>0.3</v>
      </c>
      <c r="F175" s="17">
        <f t="shared" si="5"/>
        <v>3000</v>
      </c>
    </row>
    <row r="176" spans="1:6">
      <c r="A176" s="23">
        <v>34.6</v>
      </c>
      <c r="B176" s="23">
        <v>92.8</v>
      </c>
      <c r="C176" s="24">
        <v>0.664</v>
      </c>
      <c r="D176" s="26">
        <v>-12.7876936566284</v>
      </c>
      <c r="E176" s="24">
        <v>0.3</v>
      </c>
      <c r="F176" s="17">
        <f t="shared" si="5"/>
        <v>3000</v>
      </c>
    </row>
    <row r="177" spans="1:6">
      <c r="A177" s="23">
        <v>34.8</v>
      </c>
      <c r="B177" s="23">
        <v>92.8</v>
      </c>
      <c r="C177" s="24">
        <v>0.665</v>
      </c>
      <c r="D177" s="26">
        <v>-12.72659536523</v>
      </c>
      <c r="E177" s="24">
        <v>0.299</v>
      </c>
      <c r="F177" s="17">
        <f t="shared" si="5"/>
        <v>2990</v>
      </c>
    </row>
    <row r="178" spans="1:6">
      <c r="A178" s="23">
        <v>35</v>
      </c>
      <c r="B178" s="23">
        <v>93.1</v>
      </c>
      <c r="C178" s="24">
        <v>0.666</v>
      </c>
      <c r="D178" s="26">
        <v>-12.6655908431115</v>
      </c>
      <c r="E178" s="24">
        <v>0.3</v>
      </c>
      <c r="F178" s="17">
        <f t="shared" si="5"/>
        <v>3000</v>
      </c>
    </row>
    <row r="179" spans="1:6">
      <c r="A179" s="23">
        <v>35.2</v>
      </c>
      <c r="B179" s="23">
        <v>93.1</v>
      </c>
      <c r="C179" s="24">
        <v>0.667</v>
      </c>
      <c r="D179" s="26">
        <v>-12.6046757531561</v>
      </c>
      <c r="E179" s="24">
        <v>0.3</v>
      </c>
      <c r="F179" s="17">
        <f t="shared" si="5"/>
        <v>3000</v>
      </c>
    </row>
    <row r="180" spans="1:6">
      <c r="A180" s="23">
        <v>35.4</v>
      </c>
      <c r="B180" s="23">
        <v>93.1</v>
      </c>
      <c r="C180" s="24">
        <v>0.668</v>
      </c>
      <c r="D180" s="26">
        <v>-12.5439981980453</v>
      </c>
      <c r="E180" s="24">
        <v>0.3</v>
      </c>
      <c r="F180" s="17">
        <f t="shared" si="5"/>
        <v>3000</v>
      </c>
    </row>
    <row r="181" spans="1:6">
      <c r="A181" s="23">
        <v>35.6</v>
      </c>
      <c r="B181" s="23">
        <v>92.8</v>
      </c>
      <c r="C181" s="24">
        <v>0.669</v>
      </c>
      <c r="D181" s="26">
        <v>-12.4837056504682</v>
      </c>
      <c r="E181" s="24">
        <v>0.299</v>
      </c>
      <c r="F181" s="17">
        <f t="shared" si="5"/>
        <v>2990</v>
      </c>
    </row>
    <row r="182" spans="1:6">
      <c r="A182" s="23">
        <v>35.8</v>
      </c>
      <c r="B182" s="23">
        <v>92.8</v>
      </c>
      <c r="C182" s="24">
        <v>0.67</v>
      </c>
      <c r="D182" s="26">
        <v>-12.4237929610195</v>
      </c>
      <c r="E182" s="24">
        <v>0.3</v>
      </c>
      <c r="F182" s="17">
        <f t="shared" si="5"/>
        <v>3000</v>
      </c>
    </row>
    <row r="183" spans="1:6">
      <c r="A183" s="23">
        <v>36</v>
      </c>
      <c r="B183" s="23">
        <v>92.7</v>
      </c>
      <c r="C183" s="24">
        <v>0.671</v>
      </c>
      <c r="D183" s="26">
        <v>-12.364154032247</v>
      </c>
      <c r="E183" s="24">
        <v>0.3</v>
      </c>
      <c r="F183" s="17">
        <f t="shared" si="5"/>
        <v>3000</v>
      </c>
    </row>
    <row r="184" spans="1:6">
      <c r="A184" s="23">
        <v>36.2</v>
      </c>
      <c r="B184" s="23">
        <v>92.9</v>
      </c>
      <c r="C184" s="24">
        <v>0.672</v>
      </c>
      <c r="D184" s="26">
        <v>-12.3046861798018</v>
      </c>
      <c r="E184" s="24">
        <v>0.3</v>
      </c>
      <c r="F184" s="17">
        <f t="shared" si="5"/>
        <v>3000</v>
      </c>
    </row>
    <row r="185" spans="1:6">
      <c r="A185" s="23">
        <v>36.4</v>
      </c>
      <c r="B185" s="23">
        <v>93.4</v>
      </c>
      <c r="C185" s="24">
        <v>0.672</v>
      </c>
      <c r="D185" s="26">
        <v>-12.2450807237933</v>
      </c>
      <c r="E185" s="24">
        <v>0.3</v>
      </c>
      <c r="F185" s="17">
        <f t="shared" si="5"/>
        <v>3000</v>
      </c>
    </row>
    <row r="186" spans="1:6">
      <c r="A186" s="23">
        <v>36.6</v>
      </c>
      <c r="B186" s="23">
        <v>92.5</v>
      </c>
      <c r="C186" s="24">
        <v>0.673</v>
      </c>
      <c r="D186" s="27">
        <v>-12.1858910365791</v>
      </c>
      <c r="E186" s="24">
        <v>0.299</v>
      </c>
      <c r="F186" s="17">
        <f t="shared" si="5"/>
        <v>2990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6"/>
  <sheetViews>
    <sheetView zoomScale="70" zoomScaleNormal="70" workbookViewId="0">
      <pane ySplit="2" topLeftCell="A3" activePane="bottomLeft" state="frozen"/>
      <selection/>
      <selection pane="bottomLeft" activeCell="F3" sqref="F3"/>
    </sheetView>
  </sheetViews>
  <sheetFormatPr defaultColWidth="8.87272727272727" defaultRowHeight="21" outlineLevelCol="5"/>
  <cols>
    <col min="1" max="1" width="16.2545454545455" style="2" customWidth="1"/>
    <col min="2" max="2" width="12.5" style="2" customWidth="1"/>
    <col min="3" max="3" width="13.5" style="3" customWidth="1"/>
    <col min="4" max="4" width="24" style="4" customWidth="1"/>
    <col min="5" max="5" width="22" style="5" customWidth="1"/>
    <col min="6" max="6" width="31.4272727272727" style="5" customWidth="1"/>
    <col min="7" max="16384" width="8.87272727272727" style="5"/>
  </cols>
  <sheetData>
    <row r="1" ht="85.5" customHeight="1" spans="1:6">
      <c r="A1" s="6" t="s">
        <v>7</v>
      </c>
      <c r="B1" s="6"/>
      <c r="C1" s="6"/>
      <c r="D1" s="6"/>
      <c r="E1" s="6"/>
    </row>
    <row r="2" s="1" customFormat="1" ht="42" spans="1:6">
      <c r="A2" s="7" t="s">
        <v>8</v>
      </c>
      <c r="B2" s="7" t="s">
        <v>9</v>
      </c>
      <c r="C2" s="8" t="s">
        <v>10</v>
      </c>
      <c r="D2" s="9" t="s">
        <v>11</v>
      </c>
      <c r="E2" s="10" t="s">
        <v>12</v>
      </c>
      <c r="F2" s="11" t="s">
        <v>13</v>
      </c>
    </row>
    <row r="3" spans="1:6">
      <c r="A3" s="2">
        <v>0</v>
      </c>
      <c r="B3" s="2">
        <v>2</v>
      </c>
      <c r="C3" s="3">
        <v>0.799</v>
      </c>
      <c r="D3" s="12">
        <v>-24.9954164846888</v>
      </c>
      <c r="E3" s="13">
        <f>B3/303</f>
        <v>0.0066006600660066</v>
      </c>
      <c r="F3" s="5">
        <f>E3*10000</f>
        <v>66.006600660066</v>
      </c>
    </row>
    <row r="4" spans="1:6">
      <c r="A4" s="2">
        <v>0.2</v>
      </c>
      <c r="B4" s="2">
        <v>2.1</v>
      </c>
      <c r="C4" s="3">
        <v>0.799</v>
      </c>
      <c r="D4" s="14">
        <v>-24.9954164846888</v>
      </c>
      <c r="E4" s="13">
        <f t="shared" ref="E4:E67" si="0">B4/303</f>
        <v>0.00693069306930693</v>
      </c>
      <c r="F4" s="5">
        <f>E4*10000</f>
        <v>69.3069306930693</v>
      </c>
    </row>
    <row r="5" spans="1:6">
      <c r="A5" s="2">
        <v>0.4</v>
      </c>
      <c r="B5" s="2">
        <v>2</v>
      </c>
      <c r="C5" s="3">
        <v>0.799</v>
      </c>
      <c r="D5" s="14">
        <v>-24.9939652961073</v>
      </c>
      <c r="E5" s="13">
        <f t="shared" si="0"/>
        <v>0.0066006600660066</v>
      </c>
      <c r="F5" s="5">
        <f t="shared" ref="F4:F35" si="1">E5*10000</f>
        <v>66.006600660066</v>
      </c>
    </row>
    <row r="6" spans="1:6">
      <c r="A6" s="2">
        <v>0.6</v>
      </c>
      <c r="B6" s="2">
        <v>2</v>
      </c>
      <c r="C6" s="3">
        <v>0.799</v>
      </c>
      <c r="D6" s="14">
        <v>-24.9925613010652</v>
      </c>
      <c r="E6" s="13">
        <f t="shared" si="0"/>
        <v>0.0066006600660066</v>
      </c>
      <c r="F6" s="5">
        <f t="shared" si="1"/>
        <v>66.006600660066</v>
      </c>
    </row>
    <row r="7" spans="1:6">
      <c r="A7" s="2">
        <v>0.8</v>
      </c>
      <c r="B7" s="2">
        <v>2.1</v>
      </c>
      <c r="C7" s="3">
        <v>0.799</v>
      </c>
      <c r="D7" s="14">
        <v>-24.9911229816268</v>
      </c>
      <c r="E7" s="13">
        <f t="shared" si="0"/>
        <v>0.00693069306930693</v>
      </c>
      <c r="F7" s="5">
        <f t="shared" si="1"/>
        <v>69.3069306930693</v>
      </c>
    </row>
    <row r="8" spans="1:6">
      <c r="A8" s="2">
        <v>1</v>
      </c>
      <c r="B8" s="2">
        <v>2</v>
      </c>
      <c r="C8" s="3">
        <v>0.8</v>
      </c>
      <c r="D8" s="14">
        <v>-24.9896887304606</v>
      </c>
      <c r="E8" s="13">
        <f t="shared" si="0"/>
        <v>0.0066006600660066</v>
      </c>
      <c r="F8" s="5">
        <f t="shared" si="1"/>
        <v>66.006600660066</v>
      </c>
    </row>
    <row r="9" spans="1:6">
      <c r="A9" s="2">
        <v>1.2</v>
      </c>
      <c r="B9" s="2">
        <v>2</v>
      </c>
      <c r="C9" s="3">
        <v>0.799</v>
      </c>
      <c r="D9" s="14">
        <v>-24.9882968823982</v>
      </c>
      <c r="E9" s="13">
        <f t="shared" si="0"/>
        <v>0.0066006600660066</v>
      </c>
      <c r="F9" s="5">
        <f t="shared" si="1"/>
        <v>66.006600660066</v>
      </c>
    </row>
    <row r="10" spans="1:6">
      <c r="A10" s="2">
        <v>1.4</v>
      </c>
      <c r="B10" s="2">
        <v>2.1</v>
      </c>
      <c r="C10" s="3">
        <v>0.8</v>
      </c>
      <c r="D10" s="14">
        <v>-24.9868705327381</v>
      </c>
      <c r="E10" s="13">
        <f t="shared" si="0"/>
        <v>0.00693069306930693</v>
      </c>
      <c r="F10" s="5">
        <f t="shared" si="1"/>
        <v>69.3069306930693</v>
      </c>
    </row>
    <row r="11" spans="1:6">
      <c r="A11" s="2">
        <v>1.6</v>
      </c>
      <c r="B11" s="2">
        <v>1.8</v>
      </c>
      <c r="C11" s="3">
        <v>0.8</v>
      </c>
      <c r="D11" s="14">
        <v>-24.985524800531</v>
      </c>
      <c r="E11" s="13">
        <f t="shared" si="0"/>
        <v>0.00594059405940594</v>
      </c>
      <c r="F11" s="5">
        <f t="shared" si="1"/>
        <v>59.4059405940594</v>
      </c>
    </row>
    <row r="12" spans="1:6">
      <c r="A12" s="2">
        <v>1.8</v>
      </c>
      <c r="B12" s="2">
        <v>2.2</v>
      </c>
      <c r="C12" s="3">
        <v>0.8</v>
      </c>
      <c r="D12" s="14">
        <v>-24.9841445358099</v>
      </c>
      <c r="E12" s="13">
        <f t="shared" si="0"/>
        <v>0.00726072607260726</v>
      </c>
      <c r="F12" s="5">
        <f t="shared" si="1"/>
        <v>72.6072607260726</v>
      </c>
    </row>
    <row r="13" spans="1:6">
      <c r="A13" s="2">
        <v>2</v>
      </c>
      <c r="B13" s="2">
        <v>2</v>
      </c>
      <c r="C13" s="3">
        <v>0.8</v>
      </c>
      <c r="D13" s="14">
        <v>-24.9826913133056</v>
      </c>
      <c r="E13" s="13">
        <f t="shared" si="0"/>
        <v>0.0066006600660066</v>
      </c>
      <c r="F13" s="5">
        <f t="shared" si="1"/>
        <v>66.006600660066</v>
      </c>
    </row>
    <row r="14" spans="1:6">
      <c r="A14" s="2">
        <v>2.2</v>
      </c>
      <c r="B14" s="2">
        <v>2.1</v>
      </c>
      <c r="C14" s="3">
        <v>0.8</v>
      </c>
      <c r="D14" s="14">
        <v>-24.9812806025465</v>
      </c>
      <c r="E14" s="13">
        <f t="shared" si="0"/>
        <v>0.00693069306930693</v>
      </c>
      <c r="F14" s="5">
        <f t="shared" si="1"/>
        <v>69.3069306930693</v>
      </c>
    </row>
    <row r="15" spans="1:6">
      <c r="A15" s="2">
        <v>2.4</v>
      </c>
      <c r="B15" s="2">
        <v>2</v>
      </c>
      <c r="C15" s="3">
        <v>0.8</v>
      </c>
      <c r="D15" s="14">
        <v>-24.9798738175426</v>
      </c>
      <c r="E15" s="13">
        <f t="shared" si="0"/>
        <v>0.0066006600660066</v>
      </c>
      <c r="F15" s="5">
        <f t="shared" si="1"/>
        <v>66.006600660066</v>
      </c>
    </row>
    <row r="16" spans="1:6">
      <c r="A16" s="2">
        <v>2.6</v>
      </c>
      <c r="B16" s="2">
        <v>2</v>
      </c>
      <c r="C16" s="3">
        <v>0.8</v>
      </c>
      <c r="D16" s="14">
        <v>-24.9785092749632</v>
      </c>
      <c r="E16" s="13">
        <f t="shared" si="0"/>
        <v>0.0066006600660066</v>
      </c>
      <c r="F16" s="5">
        <f t="shared" si="1"/>
        <v>66.006600660066</v>
      </c>
    </row>
    <row r="17" spans="1:6">
      <c r="A17" s="2">
        <v>2.8</v>
      </c>
      <c r="B17" s="2">
        <v>2</v>
      </c>
      <c r="C17" s="3">
        <v>0.8</v>
      </c>
      <c r="D17" s="14">
        <v>-24.9771485174843</v>
      </c>
      <c r="E17" s="13">
        <f t="shared" si="0"/>
        <v>0.0066006600660066</v>
      </c>
      <c r="F17" s="5">
        <f t="shared" si="1"/>
        <v>66.006600660066</v>
      </c>
    </row>
    <row r="18" spans="1:6">
      <c r="A18" s="2">
        <v>3</v>
      </c>
      <c r="B18" s="2">
        <v>2.2</v>
      </c>
      <c r="C18" s="3">
        <v>0.8</v>
      </c>
      <c r="D18" s="14">
        <v>-24.9757148215872</v>
      </c>
      <c r="E18" s="13">
        <f t="shared" si="0"/>
        <v>0.00726072607260726</v>
      </c>
      <c r="F18" s="5">
        <f t="shared" si="1"/>
        <v>72.6072607260726</v>
      </c>
    </row>
    <row r="19" spans="1:6">
      <c r="A19" s="2">
        <v>3.2</v>
      </c>
      <c r="B19" s="2">
        <v>2.1</v>
      </c>
      <c r="C19" s="3">
        <v>0.8</v>
      </c>
      <c r="D19" s="14">
        <v>-24.9742466427357</v>
      </c>
      <c r="E19" s="13">
        <f t="shared" si="0"/>
        <v>0.00693069306930693</v>
      </c>
      <c r="F19" s="5">
        <f t="shared" si="1"/>
        <v>69.3069306930693</v>
      </c>
    </row>
    <row r="20" spans="1:6">
      <c r="A20" s="2">
        <v>3.4</v>
      </c>
      <c r="B20" s="2">
        <v>2</v>
      </c>
      <c r="C20" s="3">
        <v>0.8</v>
      </c>
      <c r="D20" s="14">
        <v>-24.9728594600344</v>
      </c>
      <c r="E20" s="13">
        <f t="shared" si="0"/>
        <v>0.0066006600660066</v>
      </c>
      <c r="F20" s="5">
        <f t="shared" si="1"/>
        <v>66.006600660066</v>
      </c>
    </row>
    <row r="21" spans="1:6">
      <c r="A21" s="2">
        <v>3.6</v>
      </c>
      <c r="B21" s="2">
        <v>2.1</v>
      </c>
      <c r="C21" s="3">
        <v>0.8</v>
      </c>
      <c r="D21" s="14">
        <v>-24.9714761302039</v>
      </c>
      <c r="E21" s="13">
        <f t="shared" si="0"/>
        <v>0.00693069306930693</v>
      </c>
      <c r="F21" s="5">
        <f t="shared" si="1"/>
        <v>69.3069306930693</v>
      </c>
    </row>
    <row r="22" spans="1:6">
      <c r="A22" s="2">
        <v>3.8</v>
      </c>
      <c r="B22" s="2">
        <v>2.1</v>
      </c>
      <c r="C22" s="3">
        <v>0.8</v>
      </c>
      <c r="D22" s="14">
        <v>-24.9700582752618</v>
      </c>
      <c r="E22" s="13">
        <f t="shared" si="0"/>
        <v>0.00693069306930693</v>
      </c>
      <c r="F22" s="5">
        <f t="shared" si="1"/>
        <v>69.3069306930693</v>
      </c>
    </row>
    <row r="23" spans="1:6">
      <c r="A23" s="2">
        <v>4</v>
      </c>
      <c r="B23" s="2">
        <v>2</v>
      </c>
      <c r="C23" s="3">
        <v>0.8</v>
      </c>
      <c r="D23" s="14">
        <v>-24.9686827526186</v>
      </c>
      <c r="E23" s="13">
        <f t="shared" si="0"/>
        <v>0.0066006600660066</v>
      </c>
      <c r="F23" s="5">
        <f t="shared" si="1"/>
        <v>66.006600660066</v>
      </c>
    </row>
    <row r="24" spans="1:6">
      <c r="A24" s="2">
        <v>4.2</v>
      </c>
      <c r="B24" s="2">
        <v>1.9</v>
      </c>
      <c r="C24" s="3">
        <v>0.8</v>
      </c>
      <c r="D24" s="14">
        <v>-24.9673874768015</v>
      </c>
      <c r="E24" s="13">
        <f t="shared" si="0"/>
        <v>0.00627062706270627</v>
      </c>
      <c r="F24" s="5">
        <f t="shared" si="1"/>
        <v>62.7062706270627</v>
      </c>
    </row>
    <row r="25" spans="1:6">
      <c r="A25" s="2">
        <v>4.4</v>
      </c>
      <c r="B25" s="2">
        <v>2</v>
      </c>
      <c r="C25" s="3">
        <v>0.8</v>
      </c>
      <c r="D25" s="14">
        <v>-24.9660957798237</v>
      </c>
      <c r="E25" s="13">
        <f t="shared" si="0"/>
        <v>0.0066006600660066</v>
      </c>
      <c r="F25" s="5">
        <f t="shared" si="1"/>
        <v>66.006600660066</v>
      </c>
    </row>
    <row r="26" spans="1:6">
      <c r="A26" s="2">
        <v>4.6</v>
      </c>
      <c r="B26" s="2">
        <v>2</v>
      </c>
      <c r="C26" s="3">
        <v>0.801</v>
      </c>
      <c r="D26" s="14">
        <v>-24.9647695179154</v>
      </c>
      <c r="E26" s="13">
        <f t="shared" si="0"/>
        <v>0.0066006600660066</v>
      </c>
      <c r="F26" s="5">
        <f t="shared" si="1"/>
        <v>66.006600660066</v>
      </c>
    </row>
    <row r="27" spans="1:6">
      <c r="A27" s="2">
        <v>4.8</v>
      </c>
      <c r="B27" s="2">
        <v>2</v>
      </c>
      <c r="C27" s="3">
        <v>0.8</v>
      </c>
      <c r="D27" s="14">
        <v>-24.9634469494401</v>
      </c>
      <c r="E27" s="13">
        <f t="shared" si="0"/>
        <v>0.0066006600660066</v>
      </c>
      <c r="F27" s="5">
        <f t="shared" si="1"/>
        <v>66.006600660066</v>
      </c>
    </row>
    <row r="28" spans="1:6">
      <c r="A28" s="2">
        <v>5</v>
      </c>
      <c r="B28" s="2">
        <v>2</v>
      </c>
      <c r="C28" s="3">
        <v>0.8</v>
      </c>
      <c r="D28" s="14">
        <v>-24.9621280589219</v>
      </c>
      <c r="E28" s="13">
        <f t="shared" si="0"/>
        <v>0.0066006600660066</v>
      </c>
      <c r="F28" s="5">
        <f t="shared" si="1"/>
        <v>66.006600660066</v>
      </c>
    </row>
    <row r="29" spans="1:6">
      <c r="A29" s="2">
        <v>5.2</v>
      </c>
      <c r="B29" s="2">
        <v>2.2</v>
      </c>
      <c r="C29" s="3">
        <v>0.801</v>
      </c>
      <c r="D29" s="14">
        <v>-24.9607362991643</v>
      </c>
      <c r="E29" s="13">
        <f t="shared" si="0"/>
        <v>0.00726072607260726</v>
      </c>
      <c r="F29" s="5">
        <f t="shared" si="1"/>
        <v>72.6072607260726</v>
      </c>
    </row>
    <row r="30" spans="1:6">
      <c r="A30" s="2">
        <v>5.4</v>
      </c>
      <c r="B30" s="2">
        <v>2</v>
      </c>
      <c r="C30" s="3">
        <v>0.801</v>
      </c>
      <c r="D30" s="14">
        <v>-24.9593484385975</v>
      </c>
      <c r="E30" s="13">
        <f t="shared" si="0"/>
        <v>0.0066006600660066</v>
      </c>
      <c r="F30" s="5">
        <f t="shared" si="1"/>
        <v>66.006600660066</v>
      </c>
    </row>
    <row r="31" spans="1:6">
      <c r="A31" s="2">
        <v>5.6</v>
      </c>
      <c r="B31" s="2">
        <v>1.9</v>
      </c>
      <c r="C31" s="3">
        <v>0.801</v>
      </c>
      <c r="D31" s="14">
        <v>-24.9580790687409</v>
      </c>
      <c r="E31" s="13">
        <f t="shared" si="0"/>
        <v>0.00627062706270627</v>
      </c>
      <c r="F31" s="5">
        <f t="shared" si="1"/>
        <v>62.7062706270627</v>
      </c>
    </row>
    <row r="32" spans="1:6">
      <c r="A32" s="2">
        <v>5.8</v>
      </c>
      <c r="B32" s="2">
        <v>2</v>
      </c>
      <c r="C32" s="3">
        <v>0.801</v>
      </c>
      <c r="D32" s="14">
        <v>-24.9568132021896</v>
      </c>
      <c r="E32" s="13">
        <f t="shared" si="0"/>
        <v>0.0066006600660066</v>
      </c>
      <c r="F32" s="5">
        <f t="shared" si="1"/>
        <v>66.006600660066</v>
      </c>
    </row>
    <row r="33" spans="1:6">
      <c r="A33" s="2">
        <v>6</v>
      </c>
      <c r="B33" s="2">
        <v>2</v>
      </c>
      <c r="C33" s="3">
        <v>0.802</v>
      </c>
      <c r="D33" s="14">
        <v>-24.9555127513403</v>
      </c>
      <c r="E33" s="13">
        <f t="shared" si="0"/>
        <v>0.0066006600660066</v>
      </c>
      <c r="F33" s="5">
        <f t="shared" si="1"/>
        <v>66.006600660066</v>
      </c>
    </row>
    <row r="34" spans="1:6">
      <c r="A34" s="2">
        <v>6.2</v>
      </c>
      <c r="B34" s="2">
        <v>2.2</v>
      </c>
      <c r="C34" s="3">
        <v>0.797</v>
      </c>
      <c r="D34" s="14">
        <v>-24.9541394625192</v>
      </c>
      <c r="E34" s="13">
        <f t="shared" si="0"/>
        <v>0.00726072607260726</v>
      </c>
      <c r="F34" s="5">
        <f t="shared" si="1"/>
        <v>72.6072607260726</v>
      </c>
    </row>
    <row r="35" spans="1:6">
      <c r="A35" s="2">
        <v>6.4</v>
      </c>
      <c r="B35" s="2">
        <v>3.7</v>
      </c>
      <c r="C35" s="3">
        <v>0.765</v>
      </c>
      <c r="D35" s="14">
        <v>-24.9521054808169</v>
      </c>
      <c r="E35" s="13">
        <f t="shared" si="0"/>
        <v>0.0122112211221122</v>
      </c>
      <c r="F35" s="5">
        <f t="shared" si="1"/>
        <v>122.112211221122</v>
      </c>
    </row>
    <row r="36" spans="1:6">
      <c r="A36" s="2">
        <v>6.6</v>
      </c>
      <c r="B36" s="2">
        <v>5.3</v>
      </c>
      <c r="C36" s="3">
        <v>0.739</v>
      </c>
      <c r="D36" s="14">
        <v>-24.9488051436863</v>
      </c>
      <c r="E36" s="13">
        <f t="shared" si="0"/>
        <v>0.0174917491749175</v>
      </c>
      <c r="F36" s="5">
        <f t="shared" ref="F36:F67" si="2">E36*10000</f>
        <v>174.917491749175</v>
      </c>
    </row>
    <row r="37" spans="1:6">
      <c r="A37" s="2">
        <v>6.8</v>
      </c>
      <c r="B37" s="2">
        <v>6.8</v>
      </c>
      <c r="C37" s="3">
        <v>0.717</v>
      </c>
      <c r="D37" s="14">
        <v>-24.9441735627157</v>
      </c>
      <c r="E37" s="13">
        <f t="shared" si="0"/>
        <v>0.0224422442244224</v>
      </c>
      <c r="F37" s="5">
        <f t="shared" si="2"/>
        <v>224.422442244224</v>
      </c>
    </row>
    <row r="38" spans="1:6">
      <c r="A38" s="2">
        <v>7</v>
      </c>
      <c r="B38" s="2">
        <v>9.3</v>
      </c>
      <c r="C38" s="3">
        <v>0.698</v>
      </c>
      <c r="D38" s="14">
        <v>-24.9377337624151</v>
      </c>
      <c r="E38" s="13">
        <f t="shared" si="0"/>
        <v>0.0306930693069307</v>
      </c>
      <c r="F38" s="5">
        <f t="shared" si="2"/>
        <v>306.930693069307</v>
      </c>
    </row>
    <row r="39" spans="1:6">
      <c r="A39" s="2">
        <v>7.2</v>
      </c>
      <c r="B39" s="2">
        <v>11</v>
      </c>
      <c r="C39" s="3">
        <v>0.682</v>
      </c>
      <c r="D39" s="14">
        <v>-24.9292996921439</v>
      </c>
      <c r="E39" s="13">
        <f t="shared" si="0"/>
        <v>0.0363036303630363</v>
      </c>
      <c r="F39" s="5">
        <f t="shared" si="2"/>
        <v>363.036303630363</v>
      </c>
    </row>
    <row r="40" spans="1:6">
      <c r="A40" s="2">
        <v>7.4</v>
      </c>
      <c r="B40" s="2">
        <v>11.7</v>
      </c>
      <c r="C40" s="3">
        <v>0.666</v>
      </c>
      <c r="D40" s="14">
        <v>-24.9197055043265</v>
      </c>
      <c r="E40" s="13">
        <f t="shared" si="0"/>
        <v>0.0386138613861386</v>
      </c>
      <c r="F40" s="5">
        <f t="shared" si="2"/>
        <v>386.138613861386</v>
      </c>
    </row>
    <row r="41" spans="1:6">
      <c r="A41" s="2">
        <v>7.6</v>
      </c>
      <c r="B41" s="2">
        <v>13.3</v>
      </c>
      <c r="C41" s="3">
        <v>0.652</v>
      </c>
      <c r="D41" s="14">
        <v>-24.9089823155497</v>
      </c>
      <c r="E41" s="13">
        <f t="shared" si="0"/>
        <v>0.0438943894389439</v>
      </c>
      <c r="F41" s="5">
        <f t="shared" si="2"/>
        <v>438.943894389439</v>
      </c>
    </row>
    <row r="42" spans="1:6">
      <c r="A42" s="2">
        <v>7.8</v>
      </c>
      <c r="B42" s="2">
        <v>14.9</v>
      </c>
      <c r="C42" s="3">
        <v>0.64</v>
      </c>
      <c r="D42" s="14">
        <v>-24.8966369295883</v>
      </c>
      <c r="E42" s="13">
        <f t="shared" si="0"/>
        <v>0.0491749174917492</v>
      </c>
      <c r="F42" s="5">
        <f t="shared" si="2"/>
        <v>491.749174917492</v>
      </c>
    </row>
    <row r="43" spans="1:6">
      <c r="A43" s="2">
        <v>8</v>
      </c>
      <c r="B43" s="2">
        <v>16.4</v>
      </c>
      <c r="C43" s="3">
        <v>0.627</v>
      </c>
      <c r="D43" s="14">
        <v>-24.8826915344138</v>
      </c>
      <c r="E43" s="13">
        <f t="shared" si="0"/>
        <v>0.0541254125412541</v>
      </c>
      <c r="F43" s="5">
        <f t="shared" si="2"/>
        <v>541.254125412541</v>
      </c>
    </row>
    <row r="44" spans="1:6">
      <c r="A44" s="2">
        <v>8.2</v>
      </c>
      <c r="B44" s="2">
        <v>18.2</v>
      </c>
      <c r="C44" s="3">
        <v>0.616</v>
      </c>
      <c r="D44" s="14">
        <v>-24.8670092636456</v>
      </c>
      <c r="E44" s="13">
        <f t="shared" si="0"/>
        <v>0.0600660066006601</v>
      </c>
      <c r="F44" s="5">
        <f t="shared" si="2"/>
        <v>600.660066006601</v>
      </c>
    </row>
    <row r="45" spans="1:6">
      <c r="A45" s="2">
        <v>8.4</v>
      </c>
      <c r="B45" s="2">
        <v>19.6</v>
      </c>
      <c r="C45" s="3">
        <v>0.606</v>
      </c>
      <c r="D45" s="14">
        <v>-24.8496233679612</v>
      </c>
      <c r="E45" s="13">
        <f t="shared" si="0"/>
        <v>0.0646864686468647</v>
      </c>
      <c r="F45" s="5">
        <f t="shared" si="2"/>
        <v>646.864686468647</v>
      </c>
    </row>
    <row r="46" spans="1:6">
      <c r="A46" s="2">
        <v>8.6</v>
      </c>
      <c r="B46" s="2">
        <v>21.4</v>
      </c>
      <c r="C46" s="3">
        <v>0.595</v>
      </c>
      <c r="D46" s="14">
        <v>-24.8305172389075</v>
      </c>
      <c r="E46" s="13">
        <f t="shared" si="0"/>
        <v>0.0706270627062706</v>
      </c>
      <c r="F46" s="5">
        <f t="shared" si="2"/>
        <v>706.270627062706</v>
      </c>
    </row>
    <row r="47" spans="1:6">
      <c r="A47" s="2">
        <v>8.8</v>
      </c>
      <c r="B47" s="2">
        <v>23.8</v>
      </c>
      <c r="C47" s="3">
        <v>0.586</v>
      </c>
      <c r="D47" s="14">
        <v>-24.8090830422651</v>
      </c>
      <c r="E47" s="13">
        <f t="shared" si="0"/>
        <v>0.0785478547854785</v>
      </c>
      <c r="F47" s="5">
        <f t="shared" si="2"/>
        <v>785.478547854785</v>
      </c>
    </row>
    <row r="48" spans="1:6">
      <c r="A48" s="2">
        <v>9</v>
      </c>
      <c r="B48" s="2">
        <v>25.1</v>
      </c>
      <c r="C48" s="3">
        <v>0.576</v>
      </c>
      <c r="D48" s="14">
        <v>-24.7856011553827</v>
      </c>
      <c r="E48" s="13">
        <f t="shared" si="0"/>
        <v>0.0828382838283828</v>
      </c>
      <c r="F48" s="5">
        <f t="shared" si="2"/>
        <v>828.382838283829</v>
      </c>
    </row>
    <row r="49" spans="1:6">
      <c r="A49" s="2">
        <v>9.2</v>
      </c>
      <c r="B49" s="2">
        <v>26.7</v>
      </c>
      <c r="C49" s="3">
        <v>0.567</v>
      </c>
      <c r="D49" s="14">
        <v>-24.760557849607</v>
      </c>
      <c r="E49" s="13">
        <f t="shared" si="0"/>
        <v>0.0881188118811881</v>
      </c>
      <c r="F49" s="5">
        <f t="shared" si="2"/>
        <v>881.188118811881</v>
      </c>
    </row>
    <row r="50" spans="1:6">
      <c r="A50" s="2">
        <v>9.4</v>
      </c>
      <c r="B50" s="2">
        <v>27.8</v>
      </c>
      <c r="C50" s="3">
        <v>0.559</v>
      </c>
      <c r="D50" s="14">
        <v>-24.7340827000465</v>
      </c>
      <c r="E50" s="13">
        <f t="shared" si="0"/>
        <v>0.0917491749174918</v>
      </c>
      <c r="F50" s="5">
        <f t="shared" si="2"/>
        <v>917.491749174918</v>
      </c>
    </row>
    <row r="51" spans="1:6">
      <c r="A51" s="2">
        <v>9.6</v>
      </c>
      <c r="B51" s="2">
        <v>29.4</v>
      </c>
      <c r="C51" s="3">
        <v>0.551</v>
      </c>
      <c r="D51" s="14">
        <v>-24.7061837464223</v>
      </c>
      <c r="E51" s="13">
        <f t="shared" si="0"/>
        <v>0.097029702970297</v>
      </c>
      <c r="F51" s="5">
        <f t="shared" si="2"/>
        <v>970.29702970297</v>
      </c>
    </row>
    <row r="52" spans="1:6">
      <c r="A52" s="2">
        <v>9.8</v>
      </c>
      <c r="B52" s="2">
        <v>30.9</v>
      </c>
      <c r="C52" s="3">
        <v>0.544</v>
      </c>
      <c r="D52" s="14">
        <v>-24.6766182570565</v>
      </c>
      <c r="E52" s="13">
        <f t="shared" si="0"/>
        <v>0.101980198019802</v>
      </c>
      <c r="F52" s="5">
        <f t="shared" si="2"/>
        <v>1019.80198019802</v>
      </c>
    </row>
    <row r="53" spans="1:6">
      <c r="A53" s="2">
        <v>10</v>
      </c>
      <c r="B53" s="2">
        <v>32.7</v>
      </c>
      <c r="C53" s="3">
        <v>0.537</v>
      </c>
      <c r="D53" s="14">
        <v>-24.6452668796771</v>
      </c>
      <c r="E53" s="13">
        <f t="shared" si="0"/>
        <v>0.107920792079208</v>
      </c>
      <c r="F53" s="5">
        <f t="shared" si="2"/>
        <v>1079.20792079208</v>
      </c>
    </row>
    <row r="54" spans="1:6">
      <c r="A54" s="2">
        <v>10.2</v>
      </c>
      <c r="B54" s="2">
        <v>34.1</v>
      </c>
      <c r="C54" s="3">
        <v>0.53</v>
      </c>
      <c r="D54" s="14">
        <v>-24.612201248928</v>
      </c>
      <c r="E54" s="13">
        <f t="shared" si="0"/>
        <v>0.112541254125413</v>
      </c>
      <c r="F54" s="5">
        <f t="shared" si="2"/>
        <v>1125.41254125413</v>
      </c>
    </row>
    <row r="55" spans="1:6">
      <c r="A55" s="2">
        <v>10.4</v>
      </c>
      <c r="B55" s="2">
        <v>35.9</v>
      </c>
      <c r="C55" s="3">
        <v>0.525</v>
      </c>
      <c r="D55" s="14">
        <v>-24.5774298614072</v>
      </c>
      <c r="E55" s="13">
        <f t="shared" si="0"/>
        <v>0.118481848184818</v>
      </c>
      <c r="F55" s="5">
        <f t="shared" si="2"/>
        <v>1184.81848184818</v>
      </c>
    </row>
    <row r="56" spans="1:6">
      <c r="A56" s="2">
        <v>10.6</v>
      </c>
      <c r="B56" s="2">
        <v>37.4</v>
      </c>
      <c r="C56" s="3">
        <v>0.519</v>
      </c>
      <c r="D56" s="14">
        <v>-24.5408981444579</v>
      </c>
      <c r="E56" s="13">
        <f t="shared" si="0"/>
        <v>0.123432343234323</v>
      </c>
      <c r="F56" s="5">
        <f t="shared" si="2"/>
        <v>1234.32343234323</v>
      </c>
    </row>
    <row r="57" spans="1:6">
      <c r="A57" s="2">
        <v>10.8</v>
      </c>
      <c r="B57" s="2">
        <v>39.6</v>
      </c>
      <c r="C57" s="3">
        <v>0.512</v>
      </c>
      <c r="D57" s="14">
        <v>-24.502356050682</v>
      </c>
      <c r="E57" s="13">
        <f t="shared" si="0"/>
        <v>0.130693069306931</v>
      </c>
      <c r="F57" s="5">
        <f t="shared" si="2"/>
        <v>1306.93069306931</v>
      </c>
    </row>
    <row r="58" spans="1:6">
      <c r="A58" s="2">
        <v>11</v>
      </c>
      <c r="B58" s="2">
        <v>40.5</v>
      </c>
      <c r="C58" s="3">
        <v>0.51</v>
      </c>
      <c r="D58" s="14">
        <v>-24.4622045349604</v>
      </c>
      <c r="E58" s="13">
        <f t="shared" si="0"/>
        <v>0.133663366336634</v>
      </c>
      <c r="F58" s="5">
        <f t="shared" si="2"/>
        <v>1336.63366336634</v>
      </c>
    </row>
    <row r="59" spans="1:6">
      <c r="A59" s="2">
        <v>11.2</v>
      </c>
      <c r="B59" s="2">
        <v>41.9</v>
      </c>
      <c r="C59" s="3">
        <v>0.506</v>
      </c>
      <c r="D59" s="14">
        <v>-24.420975736585</v>
      </c>
      <c r="E59" s="13">
        <f t="shared" si="0"/>
        <v>0.138283828382838</v>
      </c>
      <c r="F59" s="5">
        <f t="shared" si="2"/>
        <v>1382.83828382838</v>
      </c>
    </row>
    <row r="60" spans="1:6">
      <c r="A60" s="2">
        <v>11.4</v>
      </c>
      <c r="B60" s="2">
        <v>43.8</v>
      </c>
      <c r="C60" s="3">
        <v>0.502</v>
      </c>
      <c r="D60" s="14">
        <v>-24.3780235322533</v>
      </c>
      <c r="E60" s="13">
        <f t="shared" si="0"/>
        <v>0.144554455445545</v>
      </c>
      <c r="F60" s="5">
        <f t="shared" si="2"/>
        <v>1445.54455445545</v>
      </c>
    </row>
    <row r="61" spans="1:6">
      <c r="A61" s="2">
        <v>11.6</v>
      </c>
      <c r="B61" s="2">
        <v>45.4</v>
      </c>
      <c r="C61" s="3">
        <v>0.499</v>
      </c>
      <c r="D61" s="14">
        <v>-24.3332268849088</v>
      </c>
      <c r="E61" s="13">
        <f t="shared" si="0"/>
        <v>0.14983498349835</v>
      </c>
      <c r="F61" s="5">
        <f t="shared" si="2"/>
        <v>1498.3498349835</v>
      </c>
    </row>
    <row r="62" spans="1:6">
      <c r="A62" s="2">
        <v>11.8</v>
      </c>
      <c r="B62" s="2">
        <v>47.1</v>
      </c>
      <c r="C62" s="3">
        <v>0.496</v>
      </c>
      <c r="D62" s="14">
        <v>-24.2867261926526</v>
      </c>
      <c r="E62" s="13">
        <f t="shared" si="0"/>
        <v>0.155445544554455</v>
      </c>
      <c r="F62" s="5">
        <f t="shared" si="2"/>
        <v>1554.45544554455</v>
      </c>
    </row>
    <row r="63" spans="1:6">
      <c r="A63" s="2">
        <v>12</v>
      </c>
      <c r="B63" s="2">
        <v>48.3</v>
      </c>
      <c r="C63" s="3">
        <v>0.493</v>
      </c>
      <c r="D63" s="14">
        <v>-24.2387931247637</v>
      </c>
      <c r="E63" s="13">
        <f t="shared" si="0"/>
        <v>0.159405940594059</v>
      </c>
      <c r="F63" s="5">
        <f t="shared" si="2"/>
        <v>1594.05940594059</v>
      </c>
    </row>
    <row r="64" spans="1:6">
      <c r="A64" s="2">
        <v>12.2</v>
      </c>
      <c r="B64" s="2">
        <v>50.9</v>
      </c>
      <c r="C64" s="3">
        <v>0.491</v>
      </c>
      <c r="D64" s="14">
        <v>-24.1888437255502</v>
      </c>
      <c r="E64" s="13">
        <f t="shared" si="0"/>
        <v>0.167986798679868</v>
      </c>
      <c r="F64" s="5">
        <f t="shared" si="2"/>
        <v>1679.86798679868</v>
      </c>
    </row>
    <row r="65" spans="1:6">
      <c r="A65" s="2">
        <v>12.4</v>
      </c>
      <c r="B65" s="2">
        <v>52.2</v>
      </c>
      <c r="C65" s="3">
        <v>0.489</v>
      </c>
      <c r="D65" s="14">
        <v>-24.136822357349</v>
      </c>
      <c r="E65" s="13">
        <f t="shared" si="0"/>
        <v>0.172277227722772</v>
      </c>
      <c r="F65" s="5">
        <f t="shared" si="2"/>
        <v>1722.77227722772</v>
      </c>
    </row>
    <row r="66" spans="1:6">
      <c r="A66" s="2">
        <v>12.6</v>
      </c>
      <c r="B66" s="2">
        <v>53.9</v>
      </c>
      <c r="C66" s="3">
        <v>0.487</v>
      </c>
      <c r="D66" s="14">
        <v>-24.0833346389909</v>
      </c>
      <c r="E66" s="13">
        <f t="shared" si="0"/>
        <v>0.177887788778878</v>
      </c>
      <c r="F66" s="5">
        <f t="shared" si="2"/>
        <v>1778.87788778878</v>
      </c>
    </row>
    <row r="67" spans="1:6">
      <c r="A67" s="2">
        <v>12.8</v>
      </c>
      <c r="B67" s="2">
        <v>55.7</v>
      </c>
      <c r="C67" s="3">
        <v>0.485</v>
      </c>
      <c r="D67" s="14">
        <v>-24.0280913521115</v>
      </c>
      <c r="E67" s="13">
        <f t="shared" si="0"/>
        <v>0.183828382838284</v>
      </c>
      <c r="F67" s="5">
        <f t="shared" si="2"/>
        <v>1838.28382838284</v>
      </c>
    </row>
    <row r="68" spans="1:6">
      <c r="A68" s="2">
        <v>13</v>
      </c>
      <c r="B68" s="2">
        <v>56.5</v>
      </c>
      <c r="C68" s="3">
        <v>0.484</v>
      </c>
      <c r="D68" s="14">
        <v>-23.9720651514521</v>
      </c>
      <c r="E68" s="13">
        <f t="shared" ref="E68:E131" si="3">B68/303</f>
        <v>0.186468646864686</v>
      </c>
      <c r="F68" s="5">
        <f t="shared" ref="F68:F99" si="4">E68*10000</f>
        <v>1864.68646864686</v>
      </c>
    </row>
    <row r="69" spans="1:6">
      <c r="A69" s="2">
        <v>13.2</v>
      </c>
      <c r="B69" s="2">
        <v>58.3</v>
      </c>
      <c r="C69" s="3">
        <v>0.483</v>
      </c>
      <c r="D69" s="14">
        <v>-23.9151078238034</v>
      </c>
      <c r="E69" s="13">
        <f t="shared" si="3"/>
        <v>0.192409240924092</v>
      </c>
      <c r="F69" s="5">
        <f t="shared" si="4"/>
        <v>1924.09240924092</v>
      </c>
    </row>
    <row r="70" spans="1:6">
      <c r="A70" s="2">
        <v>13.4</v>
      </c>
      <c r="B70" s="2">
        <v>59.7</v>
      </c>
      <c r="C70" s="3">
        <v>0.482</v>
      </c>
      <c r="D70" s="14">
        <v>-23.8566678660219</v>
      </c>
      <c r="E70" s="13">
        <f t="shared" si="3"/>
        <v>0.197029702970297</v>
      </c>
      <c r="F70" s="5">
        <f t="shared" si="4"/>
        <v>1970.29702970297</v>
      </c>
    </row>
    <row r="71" spans="1:6">
      <c r="A71" s="2">
        <v>13.6</v>
      </c>
      <c r="B71" s="2">
        <v>61.4</v>
      </c>
      <c r="C71" s="3">
        <v>0.482</v>
      </c>
      <c r="D71" s="14">
        <v>-23.7968930851244</v>
      </c>
      <c r="E71" s="13">
        <f t="shared" si="3"/>
        <v>0.202640264026403</v>
      </c>
      <c r="F71" s="5">
        <f t="shared" si="4"/>
        <v>2026.40264026403</v>
      </c>
    </row>
    <row r="72" spans="1:6">
      <c r="A72" s="2">
        <v>13.8</v>
      </c>
      <c r="B72" s="2">
        <v>61.8</v>
      </c>
      <c r="C72" s="3">
        <v>0.487</v>
      </c>
      <c r="D72" s="14">
        <v>-23.7363164314894</v>
      </c>
      <c r="E72" s="13">
        <f t="shared" si="3"/>
        <v>0.203960396039604</v>
      </c>
      <c r="F72" s="5">
        <f t="shared" si="4"/>
        <v>2039.60396039604</v>
      </c>
    </row>
    <row r="73" spans="1:6">
      <c r="A73" s="2">
        <v>14</v>
      </c>
      <c r="B73" s="2">
        <v>62.2</v>
      </c>
      <c r="C73" s="3">
        <v>0.493</v>
      </c>
      <c r="D73" s="14">
        <v>-23.675764553626</v>
      </c>
      <c r="E73" s="13">
        <f t="shared" si="3"/>
        <v>0.205280528052805</v>
      </c>
      <c r="F73" s="5">
        <f t="shared" si="4"/>
        <v>2052.80528052805</v>
      </c>
    </row>
    <row r="74" spans="1:6">
      <c r="A74" s="2">
        <v>14.2</v>
      </c>
      <c r="B74" s="2">
        <v>61.8</v>
      </c>
      <c r="C74" s="3">
        <v>0.498</v>
      </c>
      <c r="D74" s="14">
        <v>-23.6157234077732</v>
      </c>
      <c r="E74" s="13">
        <f t="shared" si="3"/>
        <v>0.203960396039604</v>
      </c>
      <c r="F74" s="5">
        <f t="shared" si="4"/>
        <v>2039.60396039604</v>
      </c>
    </row>
    <row r="75" spans="1:6">
      <c r="A75" s="2">
        <v>14.4</v>
      </c>
      <c r="B75" s="2">
        <v>62.1</v>
      </c>
      <c r="C75" s="3">
        <v>0.504</v>
      </c>
      <c r="D75" s="14">
        <v>-23.5562817267264</v>
      </c>
      <c r="E75" s="13">
        <f t="shared" si="3"/>
        <v>0.204950495049505</v>
      </c>
      <c r="F75" s="5">
        <f t="shared" si="4"/>
        <v>2049.50495049505</v>
      </c>
    </row>
    <row r="76" spans="1:6">
      <c r="A76" s="2">
        <v>14.6</v>
      </c>
      <c r="B76" s="2">
        <v>61.8</v>
      </c>
      <c r="C76" s="3">
        <v>0.509</v>
      </c>
      <c r="D76" s="14">
        <v>-23.4972907226152</v>
      </c>
      <c r="E76" s="13">
        <f t="shared" si="3"/>
        <v>0.203960396039604</v>
      </c>
      <c r="F76" s="5">
        <f t="shared" si="4"/>
        <v>2039.60396039604</v>
      </c>
    </row>
    <row r="77" spans="1:6">
      <c r="A77" s="2">
        <v>14.8</v>
      </c>
      <c r="B77" s="2">
        <v>61.9</v>
      </c>
      <c r="C77" s="3">
        <v>0.513</v>
      </c>
      <c r="D77" s="14">
        <v>-23.4388364561636</v>
      </c>
      <c r="E77" s="13">
        <f t="shared" si="3"/>
        <v>0.204290429042904</v>
      </c>
      <c r="F77" s="5">
        <f t="shared" si="4"/>
        <v>2042.90429042904</v>
      </c>
    </row>
    <row r="78" spans="1:6">
      <c r="A78" s="2">
        <v>15</v>
      </c>
      <c r="B78" s="2">
        <v>62.1</v>
      </c>
      <c r="C78" s="3">
        <v>0.518</v>
      </c>
      <c r="D78" s="14">
        <v>-23.3805827491521</v>
      </c>
      <c r="E78" s="13">
        <f t="shared" si="3"/>
        <v>0.204950495049505</v>
      </c>
      <c r="F78" s="5">
        <f t="shared" si="4"/>
        <v>2049.50495049505</v>
      </c>
    </row>
    <row r="79" spans="1:6">
      <c r="A79" s="2">
        <v>15.2</v>
      </c>
      <c r="B79" s="2">
        <v>61.7</v>
      </c>
      <c r="C79" s="3">
        <v>0.522</v>
      </c>
      <c r="D79" s="14">
        <v>-23.3228196350011</v>
      </c>
      <c r="E79" s="13">
        <f t="shared" si="3"/>
        <v>0.203630363036304</v>
      </c>
      <c r="F79" s="5">
        <f t="shared" si="4"/>
        <v>2036.30363036304</v>
      </c>
    </row>
    <row r="80" spans="1:6">
      <c r="A80" s="2">
        <v>15.4</v>
      </c>
      <c r="B80" s="2">
        <v>61.8</v>
      </c>
      <c r="C80" s="3">
        <v>0.526</v>
      </c>
      <c r="D80" s="14">
        <v>-23.2655894165557</v>
      </c>
      <c r="E80" s="13">
        <f t="shared" si="3"/>
        <v>0.203960396039604</v>
      </c>
      <c r="F80" s="5">
        <f t="shared" si="4"/>
        <v>2039.60396039604</v>
      </c>
    </row>
    <row r="81" spans="1:6">
      <c r="A81" s="2">
        <v>15.6</v>
      </c>
      <c r="B81" s="2">
        <v>62</v>
      </c>
      <c r="C81" s="3">
        <v>0.53</v>
      </c>
      <c r="D81" s="14">
        <v>-23.2085088864539</v>
      </c>
      <c r="E81" s="13">
        <f t="shared" si="3"/>
        <v>0.204620462046205</v>
      </c>
      <c r="F81" s="5">
        <f t="shared" si="4"/>
        <v>2046.20462046205</v>
      </c>
    </row>
    <row r="82" spans="1:6">
      <c r="A82" s="2">
        <v>15.8</v>
      </c>
      <c r="B82" s="2">
        <v>61.9</v>
      </c>
      <c r="C82" s="3">
        <v>0.534</v>
      </c>
      <c r="D82" s="14">
        <v>-23.1516906025147</v>
      </c>
      <c r="E82" s="13">
        <f t="shared" si="3"/>
        <v>0.204290429042904</v>
      </c>
      <c r="F82" s="5">
        <f t="shared" si="4"/>
        <v>2042.90429042904</v>
      </c>
    </row>
    <row r="83" spans="1:6">
      <c r="A83" s="2">
        <v>16</v>
      </c>
      <c r="B83" s="2">
        <v>62</v>
      </c>
      <c r="C83" s="3">
        <v>0.537</v>
      </c>
      <c r="D83" s="14">
        <v>-23.0951876329309</v>
      </c>
      <c r="E83" s="13">
        <f t="shared" si="3"/>
        <v>0.204620462046205</v>
      </c>
      <c r="F83" s="5">
        <f t="shared" si="4"/>
        <v>2046.20462046205</v>
      </c>
    </row>
    <row r="84" spans="1:6">
      <c r="A84" s="2">
        <v>16.2</v>
      </c>
      <c r="B84" s="2">
        <v>62.1</v>
      </c>
      <c r="C84" s="3">
        <v>0.541</v>
      </c>
      <c r="D84" s="14">
        <v>-23.0388738306811</v>
      </c>
      <c r="E84" s="13">
        <f t="shared" si="3"/>
        <v>0.204950495049505</v>
      </c>
      <c r="F84" s="5">
        <f t="shared" si="4"/>
        <v>2049.50495049505</v>
      </c>
    </row>
    <row r="85" spans="1:6">
      <c r="A85" s="2">
        <v>16.4</v>
      </c>
      <c r="B85" s="2">
        <v>62</v>
      </c>
      <c r="C85" s="3">
        <v>0.544</v>
      </c>
      <c r="D85" s="14">
        <v>-22.9828684661874</v>
      </c>
      <c r="E85" s="13">
        <f t="shared" si="3"/>
        <v>0.204620462046205</v>
      </c>
      <c r="F85" s="5">
        <f t="shared" si="4"/>
        <v>2046.20462046205</v>
      </c>
    </row>
    <row r="86" spans="1:6">
      <c r="A86" s="2">
        <v>16.6</v>
      </c>
      <c r="B86" s="2">
        <v>61.9</v>
      </c>
      <c r="C86" s="3">
        <v>0.547</v>
      </c>
      <c r="D86" s="14">
        <v>-22.9272916543083</v>
      </c>
      <c r="E86" s="13">
        <f t="shared" si="3"/>
        <v>0.204290429042904</v>
      </c>
      <c r="F86" s="5">
        <f t="shared" si="4"/>
        <v>2042.90429042904</v>
      </c>
    </row>
    <row r="87" spans="1:6">
      <c r="A87" s="2">
        <v>16.8</v>
      </c>
      <c r="B87" s="2">
        <v>62.2</v>
      </c>
      <c r="C87" s="3">
        <v>0.551</v>
      </c>
      <c r="D87" s="14">
        <v>-22.8719054033521</v>
      </c>
      <c r="E87" s="13">
        <f t="shared" si="3"/>
        <v>0.205280528052805</v>
      </c>
      <c r="F87" s="5">
        <f t="shared" si="4"/>
        <v>2052.80528052805</v>
      </c>
    </row>
    <row r="88" spans="1:6">
      <c r="A88" s="2">
        <v>17</v>
      </c>
      <c r="B88" s="2">
        <v>61.9</v>
      </c>
      <c r="C88" s="3">
        <v>0.553</v>
      </c>
      <c r="D88" s="14">
        <v>-22.8168337558885</v>
      </c>
      <c r="E88" s="13">
        <f t="shared" si="3"/>
        <v>0.204290429042904</v>
      </c>
      <c r="F88" s="5">
        <f t="shared" si="4"/>
        <v>2042.90429042904</v>
      </c>
    </row>
    <row r="89" spans="1:6">
      <c r="A89" s="2">
        <v>17.2</v>
      </c>
      <c r="B89" s="2">
        <v>61.9</v>
      </c>
      <c r="C89" s="3">
        <v>0.556</v>
      </c>
      <c r="D89" s="14">
        <v>-22.7622594931437</v>
      </c>
      <c r="E89" s="13">
        <f t="shared" si="3"/>
        <v>0.204290429042904</v>
      </c>
      <c r="F89" s="5">
        <f t="shared" si="4"/>
        <v>2042.90429042904</v>
      </c>
    </row>
    <row r="90" spans="1:6">
      <c r="A90" s="2">
        <v>17.4</v>
      </c>
      <c r="B90" s="2">
        <v>61.9</v>
      </c>
      <c r="C90" s="3">
        <v>0.559</v>
      </c>
      <c r="D90" s="14">
        <v>-22.7080085728985</v>
      </c>
      <c r="E90" s="13">
        <f t="shared" si="3"/>
        <v>0.204290429042904</v>
      </c>
      <c r="F90" s="5">
        <f t="shared" si="4"/>
        <v>2042.90429042904</v>
      </c>
    </row>
    <row r="91" spans="1:6">
      <c r="A91" s="2">
        <v>17.6</v>
      </c>
      <c r="B91" s="2">
        <v>62</v>
      </c>
      <c r="C91" s="3">
        <v>0.562</v>
      </c>
      <c r="D91" s="14">
        <v>-22.6540310058563</v>
      </c>
      <c r="E91" s="13">
        <f t="shared" si="3"/>
        <v>0.204620462046205</v>
      </c>
      <c r="F91" s="5">
        <f t="shared" si="4"/>
        <v>2046.20462046205</v>
      </c>
    </row>
    <row r="92" spans="1:6">
      <c r="A92" s="2">
        <v>17.8</v>
      </c>
      <c r="B92" s="2">
        <v>62</v>
      </c>
      <c r="C92" s="3">
        <v>0.565</v>
      </c>
      <c r="D92" s="14">
        <v>-22.6003329305343</v>
      </c>
      <c r="E92" s="13">
        <f t="shared" si="3"/>
        <v>0.204620462046205</v>
      </c>
      <c r="F92" s="5">
        <f t="shared" si="4"/>
        <v>2046.20462046205</v>
      </c>
    </row>
    <row r="93" spans="1:6">
      <c r="A93" s="2">
        <v>18</v>
      </c>
      <c r="B93" s="2">
        <v>61.8</v>
      </c>
      <c r="C93" s="3">
        <v>0.568</v>
      </c>
      <c r="D93" s="14">
        <v>-22.5470949039305</v>
      </c>
      <c r="E93" s="13">
        <f t="shared" si="3"/>
        <v>0.203960396039604</v>
      </c>
      <c r="F93" s="5">
        <f t="shared" si="4"/>
        <v>2039.60396039604</v>
      </c>
    </row>
    <row r="94" spans="1:6">
      <c r="A94" s="2">
        <v>18.2</v>
      </c>
      <c r="B94" s="2">
        <v>61.8</v>
      </c>
      <c r="C94" s="3">
        <v>0.57</v>
      </c>
      <c r="D94" s="14">
        <v>-22.4943192562649</v>
      </c>
      <c r="E94" s="13">
        <f t="shared" si="3"/>
        <v>0.203960396039604</v>
      </c>
      <c r="F94" s="5">
        <f t="shared" si="4"/>
        <v>2039.60396039604</v>
      </c>
    </row>
    <row r="95" spans="1:6">
      <c r="A95" s="2">
        <v>18.4</v>
      </c>
      <c r="B95" s="2">
        <v>61.8</v>
      </c>
      <c r="C95" s="3">
        <v>0.573</v>
      </c>
      <c r="D95" s="14">
        <v>-22.4418905964999</v>
      </c>
      <c r="E95" s="13">
        <f t="shared" si="3"/>
        <v>0.203960396039604</v>
      </c>
      <c r="F95" s="5">
        <f t="shared" si="4"/>
        <v>2039.60396039604</v>
      </c>
    </row>
    <row r="96" spans="1:6">
      <c r="A96" s="2">
        <v>18.6</v>
      </c>
      <c r="B96" s="2">
        <v>62</v>
      </c>
      <c r="C96" s="3">
        <v>0.576</v>
      </c>
      <c r="D96" s="14">
        <v>-22.3896928834486</v>
      </c>
      <c r="E96" s="13">
        <f t="shared" si="3"/>
        <v>0.204620462046205</v>
      </c>
      <c r="F96" s="5">
        <f t="shared" si="4"/>
        <v>2046.20462046205</v>
      </c>
    </row>
    <row r="97" spans="1:6">
      <c r="A97" s="2">
        <v>18.8</v>
      </c>
      <c r="B97" s="2">
        <v>62</v>
      </c>
      <c r="C97" s="3">
        <v>0.578</v>
      </c>
      <c r="D97" s="14">
        <v>-22.337724316282</v>
      </c>
      <c r="E97" s="13">
        <f t="shared" si="3"/>
        <v>0.204620462046205</v>
      </c>
      <c r="F97" s="5">
        <f t="shared" si="4"/>
        <v>2046.20462046205</v>
      </c>
    </row>
    <row r="98" spans="1:6">
      <c r="A98" s="2">
        <v>19</v>
      </c>
      <c r="B98" s="2">
        <v>61.9</v>
      </c>
      <c r="C98" s="3">
        <v>0.581</v>
      </c>
      <c r="D98" s="14">
        <v>-22.2861487918866</v>
      </c>
      <c r="E98" s="13">
        <f t="shared" si="3"/>
        <v>0.204290429042904</v>
      </c>
      <c r="F98" s="5">
        <f t="shared" si="4"/>
        <v>2042.90429042904</v>
      </c>
    </row>
    <row r="99" spans="1:6">
      <c r="A99" s="2">
        <v>19.2</v>
      </c>
      <c r="B99" s="2">
        <v>62</v>
      </c>
      <c r="C99" s="3">
        <v>0.583</v>
      </c>
      <c r="D99" s="14">
        <v>-22.2348957071518</v>
      </c>
      <c r="E99" s="13">
        <f t="shared" si="3"/>
        <v>0.204620462046205</v>
      </c>
      <c r="F99" s="5">
        <f t="shared" si="4"/>
        <v>2046.20462046205</v>
      </c>
    </row>
    <row r="100" spans="1:6">
      <c r="A100" s="2">
        <v>19.4</v>
      </c>
      <c r="B100" s="2">
        <v>62</v>
      </c>
      <c r="C100" s="3">
        <v>0.585</v>
      </c>
      <c r="D100" s="14">
        <v>-22.1838944970653</v>
      </c>
      <c r="E100" s="13">
        <f t="shared" si="3"/>
        <v>0.204620462046205</v>
      </c>
      <c r="F100" s="5">
        <f t="shared" ref="F100:F131" si="5">E100*10000</f>
        <v>2046.20462046205</v>
      </c>
    </row>
    <row r="101" spans="1:6">
      <c r="A101" s="2">
        <v>19.6</v>
      </c>
      <c r="B101" s="2">
        <v>62.1</v>
      </c>
      <c r="C101" s="3">
        <v>0.588</v>
      </c>
      <c r="D101" s="14">
        <v>-22.1331314831823</v>
      </c>
      <c r="E101" s="13">
        <f t="shared" si="3"/>
        <v>0.204950495049505</v>
      </c>
      <c r="F101" s="5">
        <f t="shared" si="5"/>
        <v>2049.50495049505</v>
      </c>
    </row>
    <row r="102" spans="1:6">
      <c r="A102" s="2">
        <v>19.8</v>
      </c>
      <c r="B102" s="2">
        <v>62</v>
      </c>
      <c r="C102" s="3">
        <v>0.59</v>
      </c>
      <c r="D102" s="14">
        <v>-22.0826508436632</v>
      </c>
      <c r="E102" s="13">
        <f t="shared" si="3"/>
        <v>0.204620462046205</v>
      </c>
      <c r="F102" s="5">
        <f t="shared" si="5"/>
        <v>2046.20462046205</v>
      </c>
    </row>
    <row r="103" spans="1:6">
      <c r="A103" s="2">
        <v>20</v>
      </c>
      <c r="B103" s="2">
        <v>61.9</v>
      </c>
      <c r="C103" s="3">
        <v>0.592</v>
      </c>
      <c r="D103" s="14">
        <v>-22.0325550832597</v>
      </c>
      <c r="E103" s="13">
        <f t="shared" si="3"/>
        <v>0.204290429042904</v>
      </c>
      <c r="F103" s="5">
        <f t="shared" si="5"/>
        <v>2042.90429042904</v>
      </c>
    </row>
    <row r="104" spans="1:6">
      <c r="A104" s="2">
        <v>20.2</v>
      </c>
      <c r="B104" s="2">
        <v>62</v>
      </c>
      <c r="C104" s="3">
        <v>0.594</v>
      </c>
      <c r="D104" s="14">
        <v>-21.9827211808523</v>
      </c>
      <c r="E104" s="13">
        <f t="shared" si="3"/>
        <v>0.204620462046205</v>
      </c>
      <c r="F104" s="5">
        <f t="shared" si="5"/>
        <v>2046.20462046205</v>
      </c>
    </row>
    <row r="105" spans="1:6">
      <c r="A105" s="2">
        <v>20.4</v>
      </c>
      <c r="B105" s="2">
        <v>61.9</v>
      </c>
      <c r="C105" s="3">
        <v>0.597</v>
      </c>
      <c r="D105" s="14">
        <v>-21.9331433945714</v>
      </c>
      <c r="E105" s="13">
        <f t="shared" si="3"/>
        <v>0.204290429042904</v>
      </c>
      <c r="F105" s="5">
        <f t="shared" si="5"/>
        <v>2042.90429042904</v>
      </c>
    </row>
    <row r="106" spans="1:6">
      <c r="A106" s="2">
        <v>20.6</v>
      </c>
      <c r="B106" s="2">
        <v>62</v>
      </c>
      <c r="C106" s="3">
        <v>0.599</v>
      </c>
      <c r="D106" s="14">
        <v>-21.8838185036031</v>
      </c>
      <c r="E106" s="13">
        <f t="shared" si="3"/>
        <v>0.204620462046205</v>
      </c>
      <c r="F106" s="5">
        <f t="shared" si="5"/>
        <v>2046.20462046205</v>
      </c>
    </row>
    <row r="107" spans="1:6">
      <c r="A107" s="2">
        <v>20.8</v>
      </c>
      <c r="B107" s="2">
        <v>62.1</v>
      </c>
      <c r="C107" s="3">
        <v>0.601</v>
      </c>
      <c r="D107" s="14">
        <v>-21.8346326329055</v>
      </c>
      <c r="E107" s="13">
        <f t="shared" si="3"/>
        <v>0.204950495049505</v>
      </c>
      <c r="F107" s="5">
        <f t="shared" si="5"/>
        <v>2049.50495049505</v>
      </c>
    </row>
    <row r="108" spans="1:6">
      <c r="A108" s="2">
        <v>21</v>
      </c>
      <c r="B108" s="2">
        <v>61.8</v>
      </c>
      <c r="C108" s="3">
        <v>0.603</v>
      </c>
      <c r="D108" s="14">
        <v>-21.7858115700338</v>
      </c>
      <c r="E108" s="13">
        <f t="shared" si="3"/>
        <v>0.203960396039604</v>
      </c>
      <c r="F108" s="5">
        <f t="shared" si="5"/>
        <v>2039.60396039604</v>
      </c>
    </row>
    <row r="109" spans="1:6">
      <c r="A109" s="2">
        <v>21.2</v>
      </c>
      <c r="B109" s="2">
        <v>62</v>
      </c>
      <c r="C109" s="3">
        <v>0.605</v>
      </c>
      <c r="D109" s="14">
        <v>-21.7372996027683</v>
      </c>
      <c r="E109" s="13">
        <f t="shared" si="3"/>
        <v>0.204620462046205</v>
      </c>
      <c r="F109" s="5">
        <f t="shared" si="5"/>
        <v>2046.20462046205</v>
      </c>
    </row>
    <row r="110" spans="1:6">
      <c r="A110" s="2">
        <v>21.4</v>
      </c>
      <c r="B110" s="2">
        <v>61.9</v>
      </c>
      <c r="C110" s="3">
        <v>0.607</v>
      </c>
      <c r="D110" s="14">
        <v>-21.6889862379797</v>
      </c>
      <c r="E110" s="13">
        <f t="shared" si="3"/>
        <v>0.204290429042904</v>
      </c>
      <c r="F110" s="5">
        <f t="shared" si="5"/>
        <v>2042.90429042904</v>
      </c>
    </row>
    <row r="111" spans="1:6">
      <c r="A111" s="2">
        <v>21.6</v>
      </c>
      <c r="B111" s="2">
        <v>61.9</v>
      </c>
      <c r="C111" s="3">
        <v>0.609</v>
      </c>
      <c r="D111" s="14">
        <v>-21.6409850738953</v>
      </c>
      <c r="E111" s="13">
        <f t="shared" si="3"/>
        <v>0.204290429042904</v>
      </c>
      <c r="F111" s="5">
        <f t="shared" si="5"/>
        <v>2042.90429042904</v>
      </c>
    </row>
    <row r="112" spans="1:6">
      <c r="A112" s="2">
        <v>21.8</v>
      </c>
      <c r="B112" s="2">
        <v>62</v>
      </c>
      <c r="C112" s="3">
        <v>0.611</v>
      </c>
      <c r="D112" s="14">
        <v>-21.5931862401356</v>
      </c>
      <c r="E112" s="13">
        <f t="shared" si="3"/>
        <v>0.204620462046205</v>
      </c>
      <c r="F112" s="5">
        <f t="shared" si="5"/>
        <v>2046.20462046205</v>
      </c>
    </row>
    <row r="113" spans="1:6">
      <c r="A113" s="2">
        <v>22</v>
      </c>
      <c r="B113" s="2">
        <v>61.9</v>
      </c>
      <c r="C113" s="3">
        <v>0.612</v>
      </c>
      <c r="D113" s="14">
        <v>-21.5456467414467</v>
      </c>
      <c r="E113" s="13">
        <f t="shared" si="3"/>
        <v>0.204290429042904</v>
      </c>
      <c r="F113" s="5">
        <f t="shared" si="5"/>
        <v>2042.90429042904</v>
      </c>
    </row>
    <row r="114" spans="1:6">
      <c r="A114" s="2">
        <v>22.2</v>
      </c>
      <c r="B114" s="2">
        <v>62.1</v>
      </c>
      <c r="C114" s="3">
        <v>0.614</v>
      </c>
      <c r="D114" s="14">
        <v>-21.4983089327524</v>
      </c>
      <c r="E114" s="13">
        <f t="shared" si="3"/>
        <v>0.204950495049505</v>
      </c>
      <c r="F114" s="5">
        <f t="shared" si="5"/>
        <v>2049.50495049505</v>
      </c>
    </row>
    <row r="115" spans="1:6">
      <c r="A115" s="2">
        <v>22.4</v>
      </c>
      <c r="B115" s="2">
        <v>61.8</v>
      </c>
      <c r="C115" s="3">
        <v>0.616</v>
      </c>
      <c r="D115" s="14">
        <v>-21.4512841878099</v>
      </c>
      <c r="E115" s="13">
        <f t="shared" si="3"/>
        <v>0.203960396039604</v>
      </c>
      <c r="F115" s="5">
        <f t="shared" si="5"/>
        <v>2039.60396039604</v>
      </c>
    </row>
    <row r="116" spans="1:6">
      <c r="A116" s="2">
        <v>22.6</v>
      </c>
      <c r="B116" s="2">
        <v>61.9</v>
      </c>
      <c r="C116" s="3">
        <v>0.618</v>
      </c>
      <c r="D116" s="14">
        <v>-21.4046276805359</v>
      </c>
      <c r="E116" s="13">
        <f t="shared" si="3"/>
        <v>0.204290429042904</v>
      </c>
      <c r="F116" s="5">
        <f t="shared" si="5"/>
        <v>2042.90429042904</v>
      </c>
    </row>
    <row r="117" spans="1:6">
      <c r="A117" s="2">
        <v>22.8</v>
      </c>
      <c r="B117" s="2">
        <v>61.8</v>
      </c>
      <c r="C117" s="3">
        <v>0.62</v>
      </c>
      <c r="D117" s="14">
        <v>-21.3582291716582</v>
      </c>
      <c r="E117" s="13">
        <f t="shared" si="3"/>
        <v>0.203960396039604</v>
      </c>
      <c r="F117" s="5">
        <f t="shared" si="5"/>
        <v>2039.60396039604</v>
      </c>
    </row>
    <row r="118" spans="1:6">
      <c r="A118" s="2">
        <v>23</v>
      </c>
      <c r="B118" s="2">
        <v>61.9</v>
      </c>
      <c r="C118" s="3">
        <v>0.621</v>
      </c>
      <c r="D118" s="14">
        <v>-21.3120887063724</v>
      </c>
      <c r="E118" s="13">
        <f t="shared" si="3"/>
        <v>0.204290429042904</v>
      </c>
      <c r="F118" s="5">
        <f t="shared" si="5"/>
        <v>2042.90429042904</v>
      </c>
    </row>
    <row r="119" spans="1:6">
      <c r="A119" s="2">
        <v>23.2</v>
      </c>
      <c r="B119" s="2">
        <v>61.8</v>
      </c>
      <c r="C119" s="3">
        <v>0.623</v>
      </c>
      <c r="D119" s="14">
        <v>-21.2662060606365</v>
      </c>
      <c r="E119" s="13">
        <f t="shared" si="3"/>
        <v>0.203960396039604</v>
      </c>
      <c r="F119" s="5">
        <f t="shared" si="5"/>
        <v>2039.60396039604</v>
      </c>
    </row>
    <row r="120" spans="1:6">
      <c r="A120" s="2">
        <v>23.4</v>
      </c>
      <c r="B120" s="2">
        <v>62.1</v>
      </c>
      <c r="C120" s="3">
        <v>0.625</v>
      </c>
      <c r="D120" s="14">
        <v>-21.2204718296628</v>
      </c>
      <c r="E120" s="13">
        <f t="shared" si="3"/>
        <v>0.204950495049505</v>
      </c>
      <c r="F120" s="5">
        <f t="shared" si="5"/>
        <v>2049.50495049505</v>
      </c>
    </row>
    <row r="121" spans="1:6">
      <c r="A121" s="2">
        <v>23.6</v>
      </c>
      <c r="B121" s="2">
        <v>61.9</v>
      </c>
      <c r="C121" s="3">
        <v>0.626</v>
      </c>
      <c r="D121" s="14">
        <v>-21.1749404227378</v>
      </c>
      <c r="E121" s="13">
        <f t="shared" si="3"/>
        <v>0.204290429042904</v>
      </c>
      <c r="F121" s="5">
        <f t="shared" si="5"/>
        <v>2042.90429042904</v>
      </c>
    </row>
    <row r="122" spans="1:6">
      <c r="A122" s="2">
        <v>23.8</v>
      </c>
      <c r="B122" s="2">
        <v>61.7</v>
      </c>
      <c r="C122" s="3">
        <v>0.628</v>
      </c>
      <c r="D122" s="14">
        <v>-21.1298826485921</v>
      </c>
      <c r="E122" s="13">
        <f t="shared" si="3"/>
        <v>0.203630363036304</v>
      </c>
      <c r="F122" s="5">
        <f t="shared" si="5"/>
        <v>2036.30363036304</v>
      </c>
    </row>
    <row r="123" spans="1:6">
      <c r="A123" s="2">
        <v>24</v>
      </c>
      <c r="B123" s="2">
        <v>62.1</v>
      </c>
      <c r="C123" s="3">
        <v>0.629</v>
      </c>
      <c r="D123" s="14">
        <v>-21.0849716614398</v>
      </c>
      <c r="E123" s="13">
        <f t="shared" si="3"/>
        <v>0.204950495049505</v>
      </c>
      <c r="F123" s="5">
        <f t="shared" si="5"/>
        <v>2049.50495049505</v>
      </c>
    </row>
    <row r="124" spans="1:6">
      <c r="A124" s="2">
        <v>24.2</v>
      </c>
      <c r="B124" s="2">
        <v>62.8</v>
      </c>
      <c r="C124" s="3">
        <v>0.628</v>
      </c>
      <c r="D124" s="14">
        <v>-21.0397204580467</v>
      </c>
      <c r="E124" s="13">
        <f t="shared" si="3"/>
        <v>0.207260726072607</v>
      </c>
      <c r="F124" s="5">
        <f t="shared" si="5"/>
        <v>2072.60726072607</v>
      </c>
    </row>
    <row r="125" spans="1:6">
      <c r="A125" s="2">
        <v>24.4</v>
      </c>
      <c r="B125" s="2">
        <v>64.2</v>
      </c>
      <c r="C125" s="3">
        <v>0.625</v>
      </c>
      <c r="D125" s="14">
        <v>-20.9935880236675</v>
      </c>
      <c r="E125" s="13">
        <f t="shared" si="3"/>
        <v>0.211881188118812</v>
      </c>
      <c r="F125" s="5">
        <f t="shared" si="5"/>
        <v>2118.81188118812</v>
      </c>
    </row>
    <row r="126" spans="1:6">
      <c r="A126" s="2">
        <v>24.6</v>
      </c>
      <c r="B126" s="2">
        <v>65.7</v>
      </c>
      <c r="C126" s="3">
        <v>0.622</v>
      </c>
      <c r="D126" s="14">
        <v>-20.9461376322838</v>
      </c>
      <c r="E126" s="13">
        <f t="shared" si="3"/>
        <v>0.216831683168317</v>
      </c>
      <c r="F126" s="5">
        <f t="shared" si="5"/>
        <v>2168.31683168317</v>
      </c>
    </row>
    <row r="127" spans="1:6">
      <c r="A127" s="2">
        <v>24.8</v>
      </c>
      <c r="B127" s="2">
        <v>67.5</v>
      </c>
      <c r="C127" s="3">
        <v>0.62</v>
      </c>
      <c r="D127" s="14">
        <v>-20.8971498722965</v>
      </c>
      <c r="E127" s="13">
        <f t="shared" si="3"/>
        <v>0.222772277227723</v>
      </c>
      <c r="F127" s="5">
        <f t="shared" si="5"/>
        <v>2227.72277227723</v>
      </c>
    </row>
    <row r="128" spans="1:6">
      <c r="A128" s="2">
        <v>25</v>
      </c>
      <c r="B128" s="2">
        <v>70</v>
      </c>
      <c r="C128" s="3">
        <v>0.618</v>
      </c>
      <c r="D128" s="14">
        <v>-20.8460744945177</v>
      </c>
      <c r="E128" s="13">
        <f t="shared" si="3"/>
        <v>0.231023102310231</v>
      </c>
      <c r="F128" s="5">
        <f t="shared" si="5"/>
        <v>2310.23102310231</v>
      </c>
    </row>
    <row r="129" spans="1:6">
      <c r="A129" s="2">
        <v>25.2</v>
      </c>
      <c r="B129" s="2">
        <v>71.4</v>
      </c>
      <c r="C129" s="3">
        <v>0.615</v>
      </c>
      <c r="D129" s="14">
        <v>-20.7931279645042</v>
      </c>
      <c r="E129" s="13">
        <f t="shared" si="3"/>
        <v>0.235643564356436</v>
      </c>
      <c r="F129" s="5">
        <f t="shared" si="5"/>
        <v>2356.43564356436</v>
      </c>
    </row>
    <row r="130" spans="1:6">
      <c r="A130" s="2">
        <v>25.4</v>
      </c>
      <c r="B130" s="2">
        <v>72.1</v>
      </c>
      <c r="C130" s="3">
        <v>0.613</v>
      </c>
      <c r="D130" s="14">
        <v>-20.7393043651668</v>
      </c>
      <c r="E130" s="13">
        <f t="shared" si="3"/>
        <v>0.237953795379538</v>
      </c>
      <c r="F130" s="5">
        <f t="shared" si="5"/>
        <v>2379.53795379538</v>
      </c>
    </row>
    <row r="131" spans="1:6">
      <c r="A131" s="2">
        <v>25.6</v>
      </c>
      <c r="B131" s="2">
        <v>73.8</v>
      </c>
      <c r="C131" s="3">
        <v>0.612</v>
      </c>
      <c r="D131" s="14">
        <v>-20.6844413326095</v>
      </c>
      <c r="E131" s="13">
        <f t="shared" si="3"/>
        <v>0.243564356435644</v>
      </c>
      <c r="F131" s="5">
        <f t="shared" si="5"/>
        <v>2435.64356435644</v>
      </c>
    </row>
    <row r="132" spans="1:6">
      <c r="A132" s="2">
        <v>25.8</v>
      </c>
      <c r="B132" s="2">
        <v>75.4</v>
      </c>
      <c r="C132" s="3">
        <v>0.61</v>
      </c>
      <c r="D132" s="14">
        <v>-20.6280449647517</v>
      </c>
      <c r="E132" s="13">
        <f t="shared" ref="E132:E186" si="6">B132/303</f>
        <v>0.248844884488449</v>
      </c>
      <c r="F132" s="5">
        <f t="shared" ref="F132:F163" si="7">E132*10000</f>
        <v>2488.44884488449</v>
      </c>
    </row>
    <row r="133" spans="1:6">
      <c r="A133" s="2">
        <v>26</v>
      </c>
      <c r="B133" s="2">
        <v>77</v>
      </c>
      <c r="C133" s="3">
        <v>0.609</v>
      </c>
      <c r="D133" s="14">
        <v>-20.5701748151091</v>
      </c>
      <c r="E133" s="13">
        <f t="shared" si="6"/>
        <v>0.254125412541254</v>
      </c>
      <c r="F133" s="5">
        <f t="shared" si="7"/>
        <v>2541.25412541254</v>
      </c>
    </row>
    <row r="134" spans="1:6">
      <c r="A134" s="2">
        <v>26.2</v>
      </c>
      <c r="B134" s="2">
        <v>78.7</v>
      </c>
      <c r="C134" s="3">
        <v>0.607</v>
      </c>
      <c r="D134" s="14">
        <v>-20.5107797717003</v>
      </c>
      <c r="E134" s="13">
        <f t="shared" si="6"/>
        <v>0.25973597359736</v>
      </c>
      <c r="F134" s="5">
        <f t="shared" si="7"/>
        <v>2597.3597359736</v>
      </c>
    </row>
    <row r="135" spans="1:6">
      <c r="A135" s="2">
        <v>26.4</v>
      </c>
      <c r="B135" s="2">
        <v>80</v>
      </c>
      <c r="C135" s="3">
        <v>0.606</v>
      </c>
      <c r="D135" s="14">
        <v>-20.4500320317769</v>
      </c>
      <c r="E135" s="13">
        <f t="shared" si="6"/>
        <v>0.264026402640264</v>
      </c>
      <c r="F135" s="5">
        <f t="shared" si="7"/>
        <v>2640.26402640264</v>
      </c>
    </row>
    <row r="136" spans="1:6">
      <c r="A136" s="2">
        <v>26.6</v>
      </c>
      <c r="B136" s="2">
        <v>82</v>
      </c>
      <c r="C136" s="3">
        <v>0.605</v>
      </c>
      <c r="D136" s="14">
        <v>-20.387770177953</v>
      </c>
      <c r="E136" s="13">
        <f t="shared" si="6"/>
        <v>0.270627062706271</v>
      </c>
      <c r="F136" s="5">
        <f t="shared" si="7"/>
        <v>2706.27062706271</v>
      </c>
    </row>
    <row r="137" spans="1:6">
      <c r="A137" s="2">
        <v>26.8</v>
      </c>
      <c r="B137" s="2">
        <v>84.2</v>
      </c>
      <c r="C137" s="3">
        <v>0.604</v>
      </c>
      <c r="D137" s="14">
        <v>-20.3234972932413</v>
      </c>
      <c r="E137" s="13">
        <f t="shared" si="6"/>
        <v>0.277887788778878</v>
      </c>
      <c r="F137" s="5">
        <f t="shared" si="7"/>
        <v>2778.87788778878</v>
      </c>
    </row>
    <row r="138" spans="1:6">
      <c r="A138" s="2">
        <v>27</v>
      </c>
      <c r="B138" s="2">
        <v>86</v>
      </c>
      <c r="C138" s="3">
        <v>0.603</v>
      </c>
      <c r="D138" s="14">
        <v>-20.2573315163051</v>
      </c>
      <c r="E138" s="13">
        <f t="shared" si="6"/>
        <v>0.283828382838284</v>
      </c>
      <c r="F138" s="5">
        <f t="shared" si="7"/>
        <v>2838.28382838284</v>
      </c>
    </row>
    <row r="139" spans="1:6">
      <c r="A139" s="2">
        <v>27.2</v>
      </c>
      <c r="B139" s="2">
        <v>87.4</v>
      </c>
      <c r="C139" s="3">
        <v>0.602</v>
      </c>
      <c r="D139" s="14">
        <v>-20.1897284342133</v>
      </c>
      <c r="E139" s="13">
        <f t="shared" si="6"/>
        <v>0.288448844884488</v>
      </c>
      <c r="F139" s="5">
        <f t="shared" si="7"/>
        <v>2884.48844884488</v>
      </c>
    </row>
    <row r="140" spans="1:6">
      <c r="A140" s="2">
        <v>27.4</v>
      </c>
      <c r="B140" s="2">
        <v>88</v>
      </c>
      <c r="C140" s="3">
        <v>0.601</v>
      </c>
      <c r="D140" s="14">
        <v>-20.121367718675</v>
      </c>
      <c r="E140" s="13">
        <f t="shared" si="6"/>
        <v>0.29042904290429</v>
      </c>
      <c r="F140" s="5">
        <f t="shared" si="7"/>
        <v>2904.2904290429</v>
      </c>
    </row>
    <row r="141" spans="1:6">
      <c r="A141" s="2">
        <v>27.6</v>
      </c>
      <c r="B141" s="2">
        <v>89.8</v>
      </c>
      <c r="C141" s="3">
        <v>0.6</v>
      </c>
      <c r="D141" s="14">
        <v>-20.0520330928385</v>
      </c>
      <c r="E141" s="13">
        <f t="shared" si="6"/>
        <v>0.296369636963696</v>
      </c>
      <c r="F141" s="5">
        <f t="shared" si="7"/>
        <v>2963.69636963696</v>
      </c>
    </row>
    <row r="142" spans="1:6">
      <c r="A142" s="2">
        <v>27.8</v>
      </c>
      <c r="B142" s="2">
        <v>91.5</v>
      </c>
      <c r="C142" s="3">
        <v>0.599</v>
      </c>
      <c r="D142" s="14">
        <v>-19.9811186912389</v>
      </c>
      <c r="E142" s="13">
        <f t="shared" si="6"/>
        <v>0.301980198019802</v>
      </c>
      <c r="F142" s="5">
        <f t="shared" si="7"/>
        <v>3019.80198019802</v>
      </c>
    </row>
    <row r="143" spans="1:6">
      <c r="A143" s="2">
        <v>28</v>
      </c>
      <c r="B143" s="2">
        <v>92.9</v>
      </c>
      <c r="C143" s="3">
        <v>0.6</v>
      </c>
      <c r="D143" s="14">
        <v>-19.9088581589731</v>
      </c>
      <c r="E143" s="13">
        <f t="shared" si="6"/>
        <v>0.306600660066007</v>
      </c>
      <c r="F143" s="5">
        <f t="shared" si="7"/>
        <v>3066.00660066007</v>
      </c>
    </row>
    <row r="144" spans="1:6">
      <c r="A144" s="2">
        <v>28.2</v>
      </c>
      <c r="B144" s="2">
        <v>92.9</v>
      </c>
      <c r="C144" s="3">
        <v>0.602</v>
      </c>
      <c r="D144" s="14">
        <v>-19.8362085290258</v>
      </c>
      <c r="E144" s="13">
        <f t="shared" si="6"/>
        <v>0.306600660066007</v>
      </c>
      <c r="F144" s="5">
        <f t="shared" si="7"/>
        <v>3066.00660066007</v>
      </c>
    </row>
    <row r="145" spans="1:6">
      <c r="A145" s="2">
        <v>28.4</v>
      </c>
      <c r="B145" s="2">
        <v>92.9</v>
      </c>
      <c r="C145" s="3">
        <v>0.605</v>
      </c>
      <c r="D145" s="14">
        <v>-19.7639533785968</v>
      </c>
      <c r="E145" s="13">
        <f t="shared" si="6"/>
        <v>0.306600660066007</v>
      </c>
      <c r="F145" s="5">
        <f t="shared" si="7"/>
        <v>3066.00660066007</v>
      </c>
    </row>
    <row r="146" spans="1:6">
      <c r="A146" s="2">
        <v>28.6</v>
      </c>
      <c r="B146" s="2">
        <v>92.7</v>
      </c>
      <c r="C146" s="3">
        <v>0.607</v>
      </c>
      <c r="D146" s="14">
        <v>-19.6922044662986</v>
      </c>
      <c r="E146" s="13">
        <f t="shared" si="6"/>
        <v>0.305940594059406</v>
      </c>
      <c r="F146" s="5">
        <f t="shared" si="7"/>
        <v>3059.40594059406</v>
      </c>
    </row>
    <row r="147" spans="1:6">
      <c r="A147" s="2">
        <v>28.8</v>
      </c>
      <c r="B147" s="2">
        <v>92.8</v>
      </c>
      <c r="C147" s="3">
        <v>0.609</v>
      </c>
      <c r="D147" s="14">
        <v>-19.620906678104</v>
      </c>
      <c r="E147" s="13">
        <f t="shared" si="6"/>
        <v>0.306270627062706</v>
      </c>
      <c r="F147" s="5">
        <f t="shared" si="7"/>
        <v>3062.70627062706</v>
      </c>
    </row>
    <row r="148" spans="1:6">
      <c r="A148" s="2">
        <v>29</v>
      </c>
      <c r="B148" s="2">
        <v>92.8</v>
      </c>
      <c r="C148" s="3">
        <v>0.611</v>
      </c>
      <c r="D148" s="14">
        <v>-19.549949608231</v>
      </c>
      <c r="E148" s="13">
        <f t="shared" si="6"/>
        <v>0.306270627062706</v>
      </c>
      <c r="F148" s="5">
        <f t="shared" si="7"/>
        <v>3062.70627062706</v>
      </c>
    </row>
    <row r="149" spans="1:6">
      <c r="A149" s="2">
        <v>29.2</v>
      </c>
      <c r="B149" s="2">
        <v>92.8</v>
      </c>
      <c r="C149" s="3">
        <v>0.613</v>
      </c>
      <c r="D149" s="14">
        <v>-19.4793879220992</v>
      </c>
      <c r="E149" s="13">
        <f t="shared" si="6"/>
        <v>0.306270627062706</v>
      </c>
      <c r="F149" s="5">
        <f t="shared" si="7"/>
        <v>3062.70627062706</v>
      </c>
    </row>
    <row r="150" spans="1:6">
      <c r="A150" s="2">
        <v>29.4</v>
      </c>
      <c r="B150" s="2">
        <v>93</v>
      </c>
      <c r="C150" s="3">
        <v>0.615</v>
      </c>
      <c r="D150" s="14">
        <v>-19.4091101680522</v>
      </c>
      <c r="E150" s="13">
        <f t="shared" si="6"/>
        <v>0.306930693069307</v>
      </c>
      <c r="F150" s="5">
        <f t="shared" si="7"/>
        <v>3069.30693069307</v>
      </c>
    </row>
    <row r="151" spans="1:6">
      <c r="A151" s="2">
        <v>29.6</v>
      </c>
      <c r="B151" s="2">
        <v>92.3</v>
      </c>
      <c r="C151" s="3">
        <v>0.617</v>
      </c>
      <c r="D151" s="14">
        <v>-19.3394978439257</v>
      </c>
      <c r="E151" s="13">
        <f t="shared" si="6"/>
        <v>0.304620462046205</v>
      </c>
      <c r="F151" s="5">
        <f t="shared" si="7"/>
        <v>3046.20462046205</v>
      </c>
    </row>
    <row r="152" spans="1:6">
      <c r="A152" s="2">
        <v>29.8</v>
      </c>
      <c r="B152" s="2">
        <v>93</v>
      </c>
      <c r="C152" s="3">
        <v>0.619</v>
      </c>
      <c r="D152" s="14">
        <v>-19.2702731034892</v>
      </c>
      <c r="E152" s="13">
        <f t="shared" si="6"/>
        <v>0.306930693069307</v>
      </c>
      <c r="F152" s="5">
        <f t="shared" si="7"/>
        <v>3069.30693069307</v>
      </c>
    </row>
    <row r="153" spans="1:6">
      <c r="A153" s="2">
        <v>30</v>
      </c>
      <c r="B153" s="2">
        <v>92.7</v>
      </c>
      <c r="C153" s="3">
        <v>0.621</v>
      </c>
      <c r="D153" s="14">
        <v>-19.2012196511554</v>
      </c>
      <c r="E153" s="13">
        <f t="shared" si="6"/>
        <v>0.305940594059406</v>
      </c>
      <c r="F153" s="5">
        <f t="shared" si="7"/>
        <v>3059.40594059406</v>
      </c>
    </row>
    <row r="154" spans="1:6">
      <c r="A154" s="2">
        <v>30.2</v>
      </c>
      <c r="B154" s="2">
        <v>92.9</v>
      </c>
      <c r="C154" s="3">
        <v>0.622</v>
      </c>
      <c r="D154" s="14">
        <v>-19.1326071895612</v>
      </c>
      <c r="E154" s="13">
        <f t="shared" si="6"/>
        <v>0.306600660066007</v>
      </c>
      <c r="F154" s="5">
        <f t="shared" si="7"/>
        <v>3066.00660066007</v>
      </c>
    </row>
    <row r="155" spans="1:6">
      <c r="A155" s="2">
        <v>30.4</v>
      </c>
      <c r="B155" s="2">
        <v>92.9</v>
      </c>
      <c r="C155" s="3">
        <v>0.624</v>
      </c>
      <c r="D155" s="14">
        <v>-19.0642679707173</v>
      </c>
      <c r="E155" s="13">
        <f t="shared" si="6"/>
        <v>0.306600660066007</v>
      </c>
      <c r="F155" s="5">
        <f t="shared" si="7"/>
        <v>3066.00660066007</v>
      </c>
    </row>
    <row r="156" spans="1:6">
      <c r="A156" s="2">
        <v>30.6</v>
      </c>
      <c r="B156" s="2">
        <v>92.7</v>
      </c>
      <c r="C156" s="3">
        <v>0.625</v>
      </c>
      <c r="D156" s="14">
        <v>-18.9964144354131</v>
      </c>
      <c r="E156" s="13">
        <f t="shared" si="6"/>
        <v>0.305940594059406</v>
      </c>
      <c r="F156" s="5">
        <f t="shared" si="7"/>
        <v>3059.40594059406</v>
      </c>
    </row>
    <row r="157" spans="1:6">
      <c r="A157" s="2">
        <v>30.8</v>
      </c>
      <c r="B157" s="2">
        <v>92.7</v>
      </c>
      <c r="C157" s="3">
        <v>0.627</v>
      </c>
      <c r="D157" s="14">
        <v>-18.9290413002308</v>
      </c>
      <c r="E157" s="13">
        <f t="shared" si="6"/>
        <v>0.305940594059406</v>
      </c>
      <c r="F157" s="5">
        <f t="shared" si="7"/>
        <v>3059.40594059406</v>
      </c>
    </row>
    <row r="158" spans="1:6">
      <c r="A158" s="2">
        <v>31</v>
      </c>
      <c r="B158" s="2">
        <v>92.7</v>
      </c>
      <c r="C158" s="3">
        <v>0.628</v>
      </c>
      <c r="D158" s="14">
        <v>-18.8620356699279</v>
      </c>
      <c r="E158" s="13">
        <f t="shared" si="6"/>
        <v>0.305940594059406</v>
      </c>
      <c r="F158" s="5">
        <f t="shared" si="7"/>
        <v>3059.40594059406</v>
      </c>
    </row>
    <row r="159" spans="1:6">
      <c r="A159" s="2">
        <v>31.2</v>
      </c>
      <c r="B159" s="2">
        <v>92.9</v>
      </c>
      <c r="C159" s="3">
        <v>0.629</v>
      </c>
      <c r="D159" s="14">
        <v>-18.7952853800418</v>
      </c>
      <c r="E159" s="13">
        <f t="shared" si="6"/>
        <v>0.306600660066007</v>
      </c>
      <c r="F159" s="5">
        <f t="shared" si="7"/>
        <v>3066.00660066007</v>
      </c>
    </row>
    <row r="160" spans="1:6">
      <c r="A160" s="2">
        <v>31.4</v>
      </c>
      <c r="B160" s="2">
        <v>92.9</v>
      </c>
      <c r="C160" s="3">
        <v>0.631</v>
      </c>
      <c r="D160" s="14">
        <v>-18.7287861310029</v>
      </c>
      <c r="E160" s="13">
        <f t="shared" si="6"/>
        <v>0.306600660066007</v>
      </c>
      <c r="F160" s="5">
        <f t="shared" si="7"/>
        <v>3066.00660066007</v>
      </c>
    </row>
    <row r="161" spans="1:6">
      <c r="A161" s="2">
        <v>31.6</v>
      </c>
      <c r="B161" s="2">
        <v>93</v>
      </c>
      <c r="C161" s="3">
        <v>0.632</v>
      </c>
      <c r="D161" s="14">
        <v>-18.6625870154186</v>
      </c>
      <c r="E161" s="13">
        <f t="shared" si="6"/>
        <v>0.306930693069307</v>
      </c>
      <c r="F161" s="5">
        <f t="shared" si="7"/>
        <v>3069.30693069307</v>
      </c>
    </row>
    <row r="162" spans="1:6">
      <c r="A162" s="2">
        <v>31.8</v>
      </c>
      <c r="B162" s="2">
        <v>92.8</v>
      </c>
      <c r="C162" s="3">
        <v>0.633</v>
      </c>
      <c r="D162" s="14">
        <v>-18.5967899791813</v>
      </c>
      <c r="E162" s="13">
        <f t="shared" si="6"/>
        <v>0.306270627062706</v>
      </c>
      <c r="F162" s="5">
        <f t="shared" si="7"/>
        <v>3062.70627062706</v>
      </c>
    </row>
    <row r="163" spans="1:6">
      <c r="A163" s="2">
        <v>32</v>
      </c>
      <c r="B163" s="2">
        <v>92.8</v>
      </c>
      <c r="C163" s="3">
        <v>0.634</v>
      </c>
      <c r="D163" s="14">
        <v>-18.5314429371323</v>
      </c>
      <c r="E163" s="13">
        <f t="shared" si="6"/>
        <v>0.306270627062706</v>
      </c>
      <c r="F163" s="5">
        <f t="shared" si="7"/>
        <v>3062.70627062706</v>
      </c>
    </row>
    <row r="164" spans="1:6">
      <c r="A164" s="2">
        <v>32.2</v>
      </c>
      <c r="B164" s="2">
        <v>92.7</v>
      </c>
      <c r="C164" s="3">
        <v>0.635</v>
      </c>
      <c r="D164" s="14">
        <v>-18.4664871207278</v>
      </c>
      <c r="E164" s="13">
        <f t="shared" si="6"/>
        <v>0.305940594059406</v>
      </c>
      <c r="F164" s="5">
        <f t="shared" ref="F164:F186" si="8">E164*10000</f>
        <v>3059.40594059406</v>
      </c>
    </row>
    <row r="165" spans="1:6">
      <c r="A165" s="2">
        <v>32.3999999999999</v>
      </c>
      <c r="B165" s="2">
        <v>92.9</v>
      </c>
      <c r="C165" s="3">
        <v>0.636</v>
      </c>
      <c r="D165" s="14">
        <v>-18.4018111821687</v>
      </c>
      <c r="E165" s="13">
        <f t="shared" si="6"/>
        <v>0.306600660066007</v>
      </c>
      <c r="F165" s="5">
        <f t="shared" si="8"/>
        <v>3066.00660066007</v>
      </c>
    </row>
    <row r="166" spans="1:6">
      <c r="A166" s="2">
        <v>32.6</v>
      </c>
      <c r="B166" s="2">
        <v>92.9</v>
      </c>
      <c r="C166" s="3">
        <v>0.637</v>
      </c>
      <c r="D166" s="14">
        <v>-18.3373574064374</v>
      </c>
      <c r="E166" s="13">
        <f t="shared" si="6"/>
        <v>0.306600660066007</v>
      </c>
      <c r="F166" s="5">
        <f t="shared" si="8"/>
        <v>3066.00660066007</v>
      </c>
    </row>
    <row r="167" spans="1:6">
      <c r="A167" s="2">
        <v>32.7999999999999</v>
      </c>
      <c r="B167" s="2">
        <v>92.8</v>
      </c>
      <c r="C167" s="3">
        <v>0.638</v>
      </c>
      <c r="D167" s="14">
        <v>-18.2732798935056</v>
      </c>
      <c r="E167" s="13">
        <f t="shared" si="6"/>
        <v>0.306270627062706</v>
      </c>
      <c r="F167" s="5">
        <f t="shared" si="8"/>
        <v>3062.70627062706</v>
      </c>
    </row>
    <row r="168" spans="1:6">
      <c r="A168" s="2">
        <v>33</v>
      </c>
      <c r="B168" s="2">
        <v>92.9</v>
      </c>
      <c r="C168" s="3">
        <v>0.639</v>
      </c>
      <c r="D168" s="14">
        <v>-18.2095202811312</v>
      </c>
      <c r="E168" s="13">
        <f t="shared" si="6"/>
        <v>0.306600660066007</v>
      </c>
      <c r="F168" s="5">
        <f t="shared" si="8"/>
        <v>3066.00660066007</v>
      </c>
    </row>
    <row r="169" spans="1:6">
      <c r="A169" s="2">
        <v>33.1999999999999</v>
      </c>
      <c r="B169" s="2">
        <v>92.7</v>
      </c>
      <c r="C169" s="3">
        <v>0.64</v>
      </c>
      <c r="D169" s="14">
        <v>-18.1461262895538</v>
      </c>
      <c r="E169" s="13">
        <f t="shared" si="6"/>
        <v>0.305940594059406</v>
      </c>
      <c r="F169" s="5">
        <f t="shared" si="8"/>
        <v>3059.40594059406</v>
      </c>
    </row>
    <row r="170" spans="1:6">
      <c r="A170" s="2">
        <v>33.3999999999999</v>
      </c>
      <c r="B170" s="2">
        <v>92.9</v>
      </c>
      <c r="C170" s="3">
        <v>0.641</v>
      </c>
      <c r="D170" s="14">
        <v>-18.0830401222479</v>
      </c>
      <c r="E170" s="13">
        <f t="shared" si="6"/>
        <v>0.306600660066007</v>
      </c>
      <c r="F170" s="5">
        <f t="shared" si="8"/>
        <v>3066.00660066007</v>
      </c>
    </row>
    <row r="171" spans="1:6">
      <c r="A171" s="2">
        <v>33.5999999999999</v>
      </c>
      <c r="B171" s="2">
        <v>92.9</v>
      </c>
      <c r="C171" s="3">
        <v>0.642</v>
      </c>
      <c r="D171" s="14">
        <v>-18.020151906979</v>
      </c>
      <c r="E171" s="13">
        <f t="shared" si="6"/>
        <v>0.306600660066007</v>
      </c>
      <c r="F171" s="5">
        <f t="shared" si="8"/>
        <v>3066.00660066007</v>
      </c>
    </row>
    <row r="172" spans="1:6">
      <c r="A172" s="2">
        <v>33.7999999999999</v>
      </c>
      <c r="B172" s="2">
        <v>93.1</v>
      </c>
      <c r="C172" s="3">
        <v>0.642</v>
      </c>
      <c r="D172" s="14">
        <v>-17.9574570413802</v>
      </c>
      <c r="E172" s="13">
        <f t="shared" si="6"/>
        <v>0.307260726072607</v>
      </c>
      <c r="F172" s="5">
        <f t="shared" si="8"/>
        <v>3072.60726072607</v>
      </c>
    </row>
    <row r="173" spans="1:6">
      <c r="A173" s="2">
        <v>33.9999999999999</v>
      </c>
      <c r="B173" s="2">
        <v>92.8</v>
      </c>
      <c r="C173" s="3">
        <v>0.643</v>
      </c>
      <c r="D173" s="14">
        <v>-17.8951079224325</v>
      </c>
      <c r="E173" s="13">
        <f t="shared" si="6"/>
        <v>0.306270627062706</v>
      </c>
      <c r="F173" s="5">
        <f t="shared" si="8"/>
        <v>3062.70627062706</v>
      </c>
    </row>
    <row r="174" spans="1:6">
      <c r="A174" s="2">
        <v>34.1999999999999</v>
      </c>
      <c r="B174" s="2">
        <v>93</v>
      </c>
      <c r="C174" s="3">
        <v>0.643</v>
      </c>
      <c r="D174" s="14">
        <v>-17.8330990682988</v>
      </c>
      <c r="E174" s="13">
        <f t="shared" si="6"/>
        <v>0.306930693069307</v>
      </c>
      <c r="F174" s="5">
        <f t="shared" si="8"/>
        <v>3069.30693069307</v>
      </c>
    </row>
    <row r="175" spans="1:6">
      <c r="A175" s="2">
        <v>34.3999999999999</v>
      </c>
      <c r="B175" s="2">
        <v>92.8</v>
      </c>
      <c r="C175" s="3">
        <v>0.644</v>
      </c>
      <c r="D175" s="14">
        <v>-17.7713730337817</v>
      </c>
      <c r="E175" s="13">
        <f t="shared" si="6"/>
        <v>0.306270627062706</v>
      </c>
      <c r="F175" s="5">
        <f t="shared" si="8"/>
        <v>3062.70627062706</v>
      </c>
    </row>
    <row r="176" spans="1:6">
      <c r="A176" s="2">
        <v>34.5999999999999</v>
      </c>
      <c r="B176" s="2">
        <v>92.8</v>
      </c>
      <c r="C176" s="3">
        <v>0.644</v>
      </c>
      <c r="D176" s="14">
        <v>-17.7100291967992</v>
      </c>
      <c r="E176" s="13">
        <f t="shared" si="6"/>
        <v>0.306270627062706</v>
      </c>
      <c r="F176" s="5">
        <f t="shared" si="8"/>
        <v>3062.70627062706</v>
      </c>
    </row>
    <row r="177" spans="1:6">
      <c r="A177" s="2">
        <v>34.7999999999999</v>
      </c>
      <c r="B177" s="2">
        <v>92.8</v>
      </c>
      <c r="C177" s="3">
        <v>0.644</v>
      </c>
      <c r="D177" s="14">
        <v>-17.6489579867738</v>
      </c>
      <c r="E177" s="13">
        <f t="shared" si="6"/>
        <v>0.306270627062706</v>
      </c>
      <c r="F177" s="5">
        <f t="shared" si="8"/>
        <v>3062.70627062706</v>
      </c>
    </row>
    <row r="178" spans="1:6">
      <c r="A178" s="2">
        <v>34.9999999999999</v>
      </c>
      <c r="B178" s="2">
        <v>93.1</v>
      </c>
      <c r="C178" s="3">
        <v>0.644</v>
      </c>
      <c r="D178" s="14">
        <v>-17.5879985360918</v>
      </c>
      <c r="E178" s="13">
        <f t="shared" si="6"/>
        <v>0.307260726072607</v>
      </c>
      <c r="F178" s="5">
        <f t="shared" si="8"/>
        <v>3072.60726072607</v>
      </c>
    </row>
    <row r="179" spans="1:6">
      <c r="A179" s="2">
        <v>35.1999999999999</v>
      </c>
      <c r="B179" s="2">
        <v>93.1</v>
      </c>
      <c r="C179" s="3">
        <v>0.644</v>
      </c>
      <c r="D179" s="14">
        <v>-17.5271464753786</v>
      </c>
      <c r="E179" s="13">
        <f t="shared" si="6"/>
        <v>0.307260726072607</v>
      </c>
      <c r="F179" s="5">
        <f t="shared" si="8"/>
        <v>3072.60726072607</v>
      </c>
    </row>
    <row r="180" spans="1:6">
      <c r="A180" s="2">
        <v>35.3999999999999</v>
      </c>
      <c r="B180" s="2">
        <v>93.1</v>
      </c>
      <c r="C180" s="3">
        <v>0.643</v>
      </c>
      <c r="D180" s="14">
        <v>-17.466552824243</v>
      </c>
      <c r="E180" s="13">
        <f t="shared" si="6"/>
        <v>0.307260726072607</v>
      </c>
      <c r="F180" s="5">
        <f t="shared" si="8"/>
        <v>3072.60726072607</v>
      </c>
    </row>
    <row r="181" spans="1:6">
      <c r="A181" s="2">
        <v>35.5999999999999</v>
      </c>
      <c r="B181" s="2">
        <v>92.8</v>
      </c>
      <c r="C181" s="3">
        <v>0.643</v>
      </c>
      <c r="D181" s="14">
        <v>-17.4063677723212</v>
      </c>
      <c r="E181" s="13">
        <f t="shared" si="6"/>
        <v>0.306270627062706</v>
      </c>
      <c r="F181" s="5">
        <f t="shared" si="8"/>
        <v>3062.70627062706</v>
      </c>
    </row>
    <row r="182" spans="1:6">
      <c r="A182" s="2">
        <v>35.7999999999999</v>
      </c>
      <c r="B182" s="2">
        <v>92.8</v>
      </c>
      <c r="C182" s="3">
        <v>0.643</v>
      </c>
      <c r="D182" s="14">
        <v>-17.3465860220093</v>
      </c>
      <c r="E182" s="13">
        <f t="shared" si="6"/>
        <v>0.306270627062706</v>
      </c>
      <c r="F182" s="5">
        <f t="shared" si="8"/>
        <v>3062.70627062706</v>
      </c>
    </row>
    <row r="183" spans="1:6">
      <c r="A183" s="2">
        <v>35.9999999999999</v>
      </c>
      <c r="B183" s="2">
        <v>92.7</v>
      </c>
      <c r="C183" s="3">
        <v>0.642</v>
      </c>
      <c r="D183" s="14">
        <v>-17.287098920354</v>
      </c>
      <c r="E183" s="13">
        <f t="shared" si="6"/>
        <v>0.305940594059406</v>
      </c>
      <c r="F183" s="5">
        <f t="shared" si="8"/>
        <v>3059.40594059406</v>
      </c>
    </row>
    <row r="184" spans="1:6">
      <c r="A184" s="2">
        <v>36.1999999999999</v>
      </c>
      <c r="B184" s="2">
        <v>92.9</v>
      </c>
      <c r="C184" s="3">
        <v>0.642</v>
      </c>
      <c r="D184" s="14">
        <v>-17.2277984002393</v>
      </c>
      <c r="E184" s="13">
        <f t="shared" si="6"/>
        <v>0.306600660066007</v>
      </c>
      <c r="F184" s="5">
        <f t="shared" si="8"/>
        <v>3066.00660066007</v>
      </c>
    </row>
    <row r="185" spans="1:6">
      <c r="A185" s="2">
        <v>36.3999999999999</v>
      </c>
      <c r="B185" s="2">
        <v>93.4</v>
      </c>
      <c r="C185" s="3">
        <v>0.641</v>
      </c>
      <c r="D185" s="14">
        <v>-17.1683702499091</v>
      </c>
      <c r="E185" s="13">
        <f t="shared" si="6"/>
        <v>0.308250825082508</v>
      </c>
      <c r="F185" s="5">
        <f t="shared" si="8"/>
        <v>3082.50825082508</v>
      </c>
    </row>
    <row r="186" spans="1:6">
      <c r="A186" s="2">
        <v>36.5999999999999</v>
      </c>
      <c r="B186" s="2">
        <v>92.5</v>
      </c>
      <c r="C186" s="3">
        <v>0.641</v>
      </c>
      <c r="D186" s="15">
        <v>-17.1093777353563</v>
      </c>
      <c r="E186" s="13">
        <f t="shared" si="6"/>
        <v>0.305280528052805</v>
      </c>
      <c r="F186" s="5">
        <f t="shared" si="8"/>
        <v>3052.80528052805</v>
      </c>
    </row>
  </sheetData>
  <mergeCells count="1">
    <mergeCell ref="A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-20℃</vt:lpstr>
      <vt:lpstr>-25℃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smother</cp:lastModifiedBy>
  <dcterms:created xsi:type="dcterms:W3CDTF">2024-05-25T05:25:00Z</dcterms:created>
  <dcterms:modified xsi:type="dcterms:W3CDTF">2026-09-23T15:27:53Z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91880E4DC8CC4016A4F347DA78758095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